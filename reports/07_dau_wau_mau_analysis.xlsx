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MA\ОБУЧЕНИЕ\практика\project-planet-hunt-sql-analysis\reports\"/>
    </mc:Choice>
  </mc:AlternateContent>
  <xr:revisionPtr revIDLastSave="0" documentId="13_ncr:1_{2AC360A7-FAB3-467E-B58D-3D14E9282445}" xr6:coauthVersionLast="47" xr6:coauthVersionMax="47" xr10:uidLastSave="{00000000-0000-0000-0000-000000000000}"/>
  <bookViews>
    <workbookView xWindow="-108" yWindow="-108" windowWidth="23256" windowHeight="12576" xr2:uid="{EFA4C68E-C2B9-427F-AFE0-131546A9F25C}"/>
  </bookViews>
  <sheets>
    <sheet name="report" sheetId="6" r:id="rId1"/>
    <sheet name="dau" sheetId="2" r:id="rId2"/>
    <sheet name="wau" sheetId="5" r:id="rId3"/>
    <sheet name="mau" sheetId="4" r:id="rId4"/>
  </sheets>
  <definedNames>
    <definedName name="ExternalData_1" localSheetId="1" hidden="1">dau!#REF!</definedName>
    <definedName name="ExternalData_1" localSheetId="3" hidden="1">mau!#REF!</definedName>
    <definedName name="ExternalData_2" localSheetId="2" hidden="1">wau!#REF!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2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" i="6"/>
  <c r="E4" i="6"/>
  <c r="E2" i="6"/>
  <c r="A3" i="4"/>
  <c r="A4" i="4"/>
  <c r="A5" i="4"/>
  <c r="A6" i="4"/>
  <c r="A7" i="4"/>
  <c r="A8" i="4"/>
  <c r="A9" i="4"/>
  <c r="A10" i="4"/>
  <c r="A11" i="4"/>
  <c r="A2" i="4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2" i="6"/>
</calcChain>
</file>

<file path=xl/sharedStrings.xml><?xml version="1.0" encoding="utf-8"?>
<sst xmlns="http://schemas.openxmlformats.org/spreadsheetml/2006/main" count="16" uniqueCount="13">
  <si>
    <t>day</t>
  </si>
  <si>
    <t>dau</t>
  </si>
  <si>
    <t>month</t>
  </si>
  <si>
    <t>mau</t>
  </si>
  <si>
    <t>week</t>
  </si>
  <si>
    <t>wau</t>
  </si>
  <si>
    <t>DAU</t>
  </si>
  <si>
    <t>WAU</t>
  </si>
  <si>
    <t>MAU</t>
  </si>
  <si>
    <t>SFW</t>
  </si>
  <si>
    <t>SFM</t>
  </si>
  <si>
    <t>week_iso</t>
  </si>
  <si>
    <t>month_date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</si>
</sst>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19]mmmm\ yyyy;@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0" fontId="0" fillId="2" borderId="1" xfId="1" applyNumberFormat="1" applyFont="1" applyFill="1" applyBorder="1" applyAlignment="1">
      <alignment horizontal="center"/>
    </xf>
    <xf numFmtId="10" fontId="2" fillId="2" borderId="1" xfId="1" applyNumberFormat="1" applyFont="1" applyFill="1" applyBorder="1" applyAlignment="1">
      <alignment horizontal="center"/>
    </xf>
    <xf numFmtId="10" fontId="0" fillId="0" borderId="0" xfId="1" applyNumberFormat="1" applyFont="1"/>
    <xf numFmtId="10" fontId="0" fillId="0" borderId="1" xfId="1" applyNumberFormat="1" applyFont="1" applyBorder="1"/>
    <xf numFmtId="166" fontId="2" fillId="2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166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report!$D$1</c:f>
              <c:strCache>
                <c:ptCount val="1"/>
                <c:pt idx="0">
                  <c:v>DAU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report!$A$2:$C$304</c:f>
              <c:multiLvlStrCache>
                <c:ptCount val="303"/>
                <c:lvl>
                  <c:pt idx="0">
                    <c:v>Июль 2025</c:v>
                  </c:pt>
                  <c:pt idx="1">
                    <c:v>Июль 2025</c:v>
                  </c:pt>
                  <c:pt idx="2">
                    <c:v>Июль 2025</c:v>
                  </c:pt>
                  <c:pt idx="3">
                    <c:v>Июль 2025</c:v>
                  </c:pt>
                  <c:pt idx="4">
                    <c:v>Июль 2025</c:v>
                  </c:pt>
                  <c:pt idx="5">
                    <c:v>Июль 2025</c:v>
                  </c:pt>
                  <c:pt idx="6">
                    <c:v>Июль 2025</c:v>
                  </c:pt>
                  <c:pt idx="7">
                    <c:v>Июль 2025</c:v>
                  </c:pt>
                  <c:pt idx="8">
                    <c:v>Июль 2025</c:v>
                  </c:pt>
                  <c:pt idx="9">
                    <c:v>Июль 2025</c:v>
                  </c:pt>
                  <c:pt idx="10">
                    <c:v>Июль 2025</c:v>
                  </c:pt>
                  <c:pt idx="11">
                    <c:v>Июль 2025</c:v>
                  </c:pt>
                  <c:pt idx="12">
                    <c:v>Июль 2025</c:v>
                  </c:pt>
                  <c:pt idx="13">
                    <c:v>Июль 2025</c:v>
                  </c:pt>
                  <c:pt idx="14">
                    <c:v>Июль 2025</c:v>
                  </c:pt>
                  <c:pt idx="15">
                    <c:v>Июль 2025</c:v>
                  </c:pt>
                  <c:pt idx="16">
                    <c:v>Июль 2025</c:v>
                  </c:pt>
                  <c:pt idx="17">
                    <c:v>Июль 2025</c:v>
                  </c:pt>
                  <c:pt idx="18">
                    <c:v>Июль 2025</c:v>
                  </c:pt>
                  <c:pt idx="19">
                    <c:v>Июль 2025</c:v>
                  </c:pt>
                  <c:pt idx="20">
                    <c:v>Июль 2025</c:v>
                  </c:pt>
                  <c:pt idx="21">
                    <c:v>Июль 2025</c:v>
                  </c:pt>
                  <c:pt idx="22">
                    <c:v>Июль 2025</c:v>
                  </c:pt>
                  <c:pt idx="23">
                    <c:v>Июль 2025</c:v>
                  </c:pt>
                  <c:pt idx="24">
                    <c:v>Июль 2025</c:v>
                  </c:pt>
                  <c:pt idx="25">
                    <c:v>Июль 2025</c:v>
                  </c:pt>
                  <c:pt idx="26">
                    <c:v>Июль 2025</c:v>
                  </c:pt>
                  <c:pt idx="27">
                    <c:v>Июль 2025</c:v>
                  </c:pt>
                  <c:pt idx="28">
                    <c:v>Июль 2025</c:v>
                  </c:pt>
                  <c:pt idx="29">
                    <c:v>Июль 2025</c:v>
                  </c:pt>
                  <c:pt idx="30">
                    <c:v>Август 2025</c:v>
                  </c:pt>
                  <c:pt idx="31">
                    <c:v>Август 2025</c:v>
                  </c:pt>
                  <c:pt idx="32">
                    <c:v>Август 2025</c:v>
                  </c:pt>
                  <c:pt idx="33">
                    <c:v>Август 2025</c:v>
                  </c:pt>
                  <c:pt idx="34">
                    <c:v>Август 2025</c:v>
                  </c:pt>
                  <c:pt idx="35">
                    <c:v>Август 2025</c:v>
                  </c:pt>
                  <c:pt idx="36">
                    <c:v>Август 2025</c:v>
                  </c:pt>
                  <c:pt idx="37">
                    <c:v>Август 2025</c:v>
                  </c:pt>
                  <c:pt idx="38">
                    <c:v>Август 2025</c:v>
                  </c:pt>
                  <c:pt idx="39">
                    <c:v>Август 2025</c:v>
                  </c:pt>
                  <c:pt idx="40">
                    <c:v>Август 2025</c:v>
                  </c:pt>
                  <c:pt idx="41">
                    <c:v>Август 2025</c:v>
                  </c:pt>
                  <c:pt idx="42">
                    <c:v>Август 2025</c:v>
                  </c:pt>
                  <c:pt idx="43">
                    <c:v>Август 2025</c:v>
                  </c:pt>
                  <c:pt idx="44">
                    <c:v>Август 2025</c:v>
                  </c:pt>
                  <c:pt idx="45">
                    <c:v>Август 2025</c:v>
                  </c:pt>
                  <c:pt idx="46">
                    <c:v>Август 2025</c:v>
                  </c:pt>
                  <c:pt idx="47">
                    <c:v>Август 2025</c:v>
                  </c:pt>
                  <c:pt idx="48">
                    <c:v>Август 2025</c:v>
                  </c:pt>
                  <c:pt idx="49">
                    <c:v>Август 2025</c:v>
                  </c:pt>
                  <c:pt idx="50">
                    <c:v>Август 2025</c:v>
                  </c:pt>
                  <c:pt idx="51">
                    <c:v>Август 2025</c:v>
                  </c:pt>
                  <c:pt idx="52">
                    <c:v>Август 2025</c:v>
                  </c:pt>
                  <c:pt idx="53">
                    <c:v>Август 2025</c:v>
                  </c:pt>
                  <c:pt idx="54">
                    <c:v>Август 2025</c:v>
                  </c:pt>
                  <c:pt idx="55">
                    <c:v>Август 2025</c:v>
                  </c:pt>
                  <c:pt idx="56">
                    <c:v>Август 2025</c:v>
                  </c:pt>
                  <c:pt idx="57">
                    <c:v>Август 2025</c:v>
                  </c:pt>
                  <c:pt idx="58">
                    <c:v>Август 2025</c:v>
                  </c:pt>
                  <c:pt idx="59">
                    <c:v>Август 2025</c:v>
                  </c:pt>
                  <c:pt idx="60">
                    <c:v>Август 2025</c:v>
                  </c:pt>
                  <c:pt idx="61">
                    <c:v>Сентябрь 2025</c:v>
                  </c:pt>
                  <c:pt idx="62">
                    <c:v>Сентябрь 2025</c:v>
                  </c:pt>
                  <c:pt idx="63">
                    <c:v>Сентябрь 2025</c:v>
                  </c:pt>
                  <c:pt idx="64">
                    <c:v>Сентябрь 2025</c:v>
                  </c:pt>
                  <c:pt idx="65">
                    <c:v>Сентябрь 2025</c:v>
                  </c:pt>
                  <c:pt idx="66">
                    <c:v>Сентябрь 2025</c:v>
                  </c:pt>
                  <c:pt idx="67">
                    <c:v>Сентябрь 2025</c:v>
                  </c:pt>
                  <c:pt idx="68">
                    <c:v>Сентябрь 2025</c:v>
                  </c:pt>
                  <c:pt idx="69">
                    <c:v>Сентябрь 2025</c:v>
                  </c:pt>
                  <c:pt idx="70">
                    <c:v>Сентябрь 2025</c:v>
                  </c:pt>
                  <c:pt idx="71">
                    <c:v>Сентябрь 2025</c:v>
                  </c:pt>
                  <c:pt idx="72">
                    <c:v>Сентябрь 2025</c:v>
                  </c:pt>
                  <c:pt idx="73">
                    <c:v>Сентябрь 2025</c:v>
                  </c:pt>
                  <c:pt idx="74">
                    <c:v>Сентябрь 2025</c:v>
                  </c:pt>
                  <c:pt idx="75">
                    <c:v>Сентябрь 2025</c:v>
                  </c:pt>
                  <c:pt idx="76">
                    <c:v>Сентябрь 2025</c:v>
                  </c:pt>
                  <c:pt idx="77">
                    <c:v>Сентябрь 2025</c:v>
                  </c:pt>
                  <c:pt idx="78">
                    <c:v>Сентябрь 2025</c:v>
                  </c:pt>
                  <c:pt idx="79">
                    <c:v>Сентябрь 2025</c:v>
                  </c:pt>
                  <c:pt idx="80">
                    <c:v>Сентябрь 2025</c:v>
                  </c:pt>
                  <c:pt idx="81">
                    <c:v>Сентябрь 2025</c:v>
                  </c:pt>
                  <c:pt idx="82">
                    <c:v>Сентябрь 2025</c:v>
                  </c:pt>
                  <c:pt idx="83">
                    <c:v>Сентябрь 2025</c:v>
                  </c:pt>
                  <c:pt idx="84">
                    <c:v>Сентябрь 2025</c:v>
                  </c:pt>
                  <c:pt idx="85">
                    <c:v>Сентябрь 2025</c:v>
                  </c:pt>
                  <c:pt idx="86">
                    <c:v>Сентябрь 2025</c:v>
                  </c:pt>
                  <c:pt idx="87">
                    <c:v>Сентябрь 2025</c:v>
                  </c:pt>
                  <c:pt idx="88">
                    <c:v>Сентябрь 2025</c:v>
                  </c:pt>
                  <c:pt idx="89">
                    <c:v>Сентябрь 2025</c:v>
                  </c:pt>
                  <c:pt idx="90">
                    <c:v>Сентябрь 2025</c:v>
                  </c:pt>
                  <c:pt idx="91">
                    <c:v>Октябрь 2025</c:v>
                  </c:pt>
                  <c:pt idx="92">
                    <c:v>Октябрь 2025</c:v>
                  </c:pt>
                  <c:pt idx="93">
                    <c:v>Октябрь 2025</c:v>
                  </c:pt>
                  <c:pt idx="94">
                    <c:v>Октябрь 2025</c:v>
                  </c:pt>
                  <c:pt idx="95">
                    <c:v>Октябрь 2025</c:v>
                  </c:pt>
                  <c:pt idx="96">
                    <c:v>Октябрь 2025</c:v>
                  </c:pt>
                  <c:pt idx="97">
                    <c:v>Октябрь 2025</c:v>
                  </c:pt>
                  <c:pt idx="98">
                    <c:v>Октябрь 2025</c:v>
                  </c:pt>
                  <c:pt idx="99">
                    <c:v>Октябрь 2025</c:v>
                  </c:pt>
                  <c:pt idx="100">
                    <c:v>Октябрь 2025</c:v>
                  </c:pt>
                  <c:pt idx="101">
                    <c:v>Октябрь 2025</c:v>
                  </c:pt>
                  <c:pt idx="102">
                    <c:v>Октябрь 2025</c:v>
                  </c:pt>
                  <c:pt idx="103">
                    <c:v>Октябрь 2025</c:v>
                  </c:pt>
                  <c:pt idx="104">
                    <c:v>Октябрь 2025</c:v>
                  </c:pt>
                  <c:pt idx="105">
                    <c:v>Октябрь 2025</c:v>
                  </c:pt>
                  <c:pt idx="106">
                    <c:v>Октябрь 2025</c:v>
                  </c:pt>
                  <c:pt idx="107">
                    <c:v>Октябрь 2025</c:v>
                  </c:pt>
                  <c:pt idx="108">
                    <c:v>Октябрь 2025</c:v>
                  </c:pt>
                  <c:pt idx="109">
                    <c:v>Октябрь 2025</c:v>
                  </c:pt>
                  <c:pt idx="110">
                    <c:v>Октябрь 2025</c:v>
                  </c:pt>
                  <c:pt idx="111">
                    <c:v>Октябрь 2025</c:v>
                  </c:pt>
                  <c:pt idx="112">
                    <c:v>Октябрь 2025</c:v>
                  </c:pt>
                  <c:pt idx="113">
                    <c:v>Октябрь 2025</c:v>
                  </c:pt>
                  <c:pt idx="114">
                    <c:v>Октябрь 2025</c:v>
                  </c:pt>
                  <c:pt idx="115">
                    <c:v>Октябрь 2025</c:v>
                  </c:pt>
                  <c:pt idx="116">
                    <c:v>Октябрь 2025</c:v>
                  </c:pt>
                  <c:pt idx="117">
                    <c:v>Октябрь 2025</c:v>
                  </c:pt>
                  <c:pt idx="118">
                    <c:v>Октябрь 2025</c:v>
                  </c:pt>
                  <c:pt idx="119">
                    <c:v>Октябрь 2025</c:v>
                  </c:pt>
                  <c:pt idx="120">
                    <c:v>Октябрь 2025</c:v>
                  </c:pt>
                  <c:pt idx="121">
                    <c:v>Октябрь 2025</c:v>
                  </c:pt>
                  <c:pt idx="122">
                    <c:v>Ноябрь 2025</c:v>
                  </c:pt>
                  <c:pt idx="123">
                    <c:v>Ноябрь 2025</c:v>
                  </c:pt>
                  <c:pt idx="124">
                    <c:v>Ноябрь 2025</c:v>
                  </c:pt>
                  <c:pt idx="125">
                    <c:v>Ноябрь 2025</c:v>
                  </c:pt>
                  <c:pt idx="126">
                    <c:v>Ноябрь 2025</c:v>
                  </c:pt>
                  <c:pt idx="127">
                    <c:v>Ноябрь 2025</c:v>
                  </c:pt>
                  <c:pt idx="128">
                    <c:v>Ноябрь 2025</c:v>
                  </c:pt>
                  <c:pt idx="129">
                    <c:v>Ноябрь 2025</c:v>
                  </c:pt>
                  <c:pt idx="130">
                    <c:v>Ноябрь 2025</c:v>
                  </c:pt>
                  <c:pt idx="131">
                    <c:v>Ноябрь 2025</c:v>
                  </c:pt>
                  <c:pt idx="132">
                    <c:v>Ноябрь 2025</c:v>
                  </c:pt>
                  <c:pt idx="133">
                    <c:v>Ноябрь 2025</c:v>
                  </c:pt>
                  <c:pt idx="134">
                    <c:v>Ноябрь 2025</c:v>
                  </c:pt>
                  <c:pt idx="135">
                    <c:v>Ноябрь 2025</c:v>
                  </c:pt>
                  <c:pt idx="136">
                    <c:v>Ноябрь 2025</c:v>
                  </c:pt>
                  <c:pt idx="137">
                    <c:v>Ноябрь 2025</c:v>
                  </c:pt>
                  <c:pt idx="138">
                    <c:v>Ноябрь 2025</c:v>
                  </c:pt>
                  <c:pt idx="139">
                    <c:v>Ноябрь 2025</c:v>
                  </c:pt>
                  <c:pt idx="140">
                    <c:v>Ноябрь 2025</c:v>
                  </c:pt>
                  <c:pt idx="141">
                    <c:v>Ноябрь 2025</c:v>
                  </c:pt>
                  <c:pt idx="142">
                    <c:v>Ноябрь 2025</c:v>
                  </c:pt>
                  <c:pt idx="143">
                    <c:v>Ноябрь 2025</c:v>
                  </c:pt>
                  <c:pt idx="144">
                    <c:v>Ноябрь 2025</c:v>
                  </c:pt>
                  <c:pt idx="145">
                    <c:v>Ноябрь 2025</c:v>
                  </c:pt>
                  <c:pt idx="146">
                    <c:v>Ноябрь 2025</c:v>
                  </c:pt>
                  <c:pt idx="147">
                    <c:v>Ноябрь 2025</c:v>
                  </c:pt>
                  <c:pt idx="148">
                    <c:v>Ноябрь 2025</c:v>
                  </c:pt>
                  <c:pt idx="149">
                    <c:v>Ноябрь 2025</c:v>
                  </c:pt>
                  <c:pt idx="150">
                    <c:v>Ноябрь 2025</c:v>
                  </c:pt>
                  <c:pt idx="151">
                    <c:v>Ноябрь 2025</c:v>
                  </c:pt>
                  <c:pt idx="152">
                    <c:v>Декабрь 2025</c:v>
                  </c:pt>
                  <c:pt idx="153">
                    <c:v>Декабрь 2025</c:v>
                  </c:pt>
                  <c:pt idx="154">
                    <c:v>Декабрь 2025</c:v>
                  </c:pt>
                  <c:pt idx="155">
                    <c:v>Декабрь 2025</c:v>
                  </c:pt>
                  <c:pt idx="156">
                    <c:v>Декабрь 2025</c:v>
                  </c:pt>
                  <c:pt idx="157">
                    <c:v>Декабрь 2025</c:v>
                  </c:pt>
                  <c:pt idx="158">
                    <c:v>Декабрь 2025</c:v>
                  </c:pt>
                  <c:pt idx="159">
                    <c:v>Декабрь 2025</c:v>
                  </c:pt>
                  <c:pt idx="160">
                    <c:v>Декабрь 2025</c:v>
                  </c:pt>
                  <c:pt idx="161">
                    <c:v>Декабрь 2025</c:v>
                  </c:pt>
                  <c:pt idx="162">
                    <c:v>Декабрь 2025</c:v>
                  </c:pt>
                  <c:pt idx="163">
                    <c:v>Декабрь 2025</c:v>
                  </c:pt>
                  <c:pt idx="164">
                    <c:v>Декабрь 2025</c:v>
                  </c:pt>
                  <c:pt idx="165">
                    <c:v>Декабрь 2025</c:v>
                  </c:pt>
                  <c:pt idx="166">
                    <c:v>Декабрь 2025</c:v>
                  </c:pt>
                  <c:pt idx="167">
                    <c:v>Декабрь 2025</c:v>
                  </c:pt>
                  <c:pt idx="168">
                    <c:v>Декабрь 2025</c:v>
                  </c:pt>
                  <c:pt idx="169">
                    <c:v>Декабрь 2025</c:v>
                  </c:pt>
                  <c:pt idx="170">
                    <c:v>Декабрь 2025</c:v>
                  </c:pt>
                  <c:pt idx="171">
                    <c:v>Декабрь 2025</c:v>
                  </c:pt>
                  <c:pt idx="172">
                    <c:v>Декабрь 2025</c:v>
                  </c:pt>
                  <c:pt idx="173">
                    <c:v>Декабрь 2025</c:v>
                  </c:pt>
                  <c:pt idx="174">
                    <c:v>Декабрь 2025</c:v>
                  </c:pt>
                  <c:pt idx="175">
                    <c:v>Декабрь 2025</c:v>
                  </c:pt>
                  <c:pt idx="176">
                    <c:v>Декабрь 2025</c:v>
                  </c:pt>
                  <c:pt idx="177">
                    <c:v>Декабрь 2025</c:v>
                  </c:pt>
                  <c:pt idx="178">
                    <c:v>Декабрь 2025</c:v>
                  </c:pt>
                  <c:pt idx="179">
                    <c:v>Декабрь 2025</c:v>
                  </c:pt>
                  <c:pt idx="180">
                    <c:v>Декабрь 2025</c:v>
                  </c:pt>
                  <c:pt idx="181">
                    <c:v>Декабрь 2025</c:v>
                  </c:pt>
                  <c:pt idx="182">
                    <c:v>Декабрь 2025</c:v>
                  </c:pt>
                  <c:pt idx="183">
                    <c:v>Январь 2026</c:v>
                  </c:pt>
                  <c:pt idx="184">
                    <c:v>Январь 2026</c:v>
                  </c:pt>
                  <c:pt idx="185">
                    <c:v>Январь 2026</c:v>
                  </c:pt>
                  <c:pt idx="186">
                    <c:v>Январь 2026</c:v>
                  </c:pt>
                  <c:pt idx="187">
                    <c:v>Январь 2026</c:v>
                  </c:pt>
                  <c:pt idx="188">
                    <c:v>Январь 2026</c:v>
                  </c:pt>
                  <c:pt idx="189">
                    <c:v>Январь 2026</c:v>
                  </c:pt>
                  <c:pt idx="190">
                    <c:v>Январь 2026</c:v>
                  </c:pt>
                  <c:pt idx="191">
                    <c:v>Январь 2026</c:v>
                  </c:pt>
                  <c:pt idx="192">
                    <c:v>Январь 2026</c:v>
                  </c:pt>
                  <c:pt idx="193">
                    <c:v>Январь 2026</c:v>
                  </c:pt>
                  <c:pt idx="194">
                    <c:v>Январь 2026</c:v>
                  </c:pt>
                  <c:pt idx="195">
                    <c:v>Январь 2026</c:v>
                  </c:pt>
                  <c:pt idx="196">
                    <c:v>Январь 2026</c:v>
                  </c:pt>
                  <c:pt idx="197">
                    <c:v>Январь 2026</c:v>
                  </c:pt>
                  <c:pt idx="198">
                    <c:v>Январь 2026</c:v>
                  </c:pt>
                  <c:pt idx="199">
                    <c:v>Январь 2026</c:v>
                  </c:pt>
                  <c:pt idx="200">
                    <c:v>Январь 2026</c:v>
                  </c:pt>
                  <c:pt idx="201">
                    <c:v>Январь 2026</c:v>
                  </c:pt>
                  <c:pt idx="202">
                    <c:v>Январь 2026</c:v>
                  </c:pt>
                  <c:pt idx="203">
                    <c:v>Январь 2026</c:v>
                  </c:pt>
                  <c:pt idx="204">
                    <c:v>Январь 2026</c:v>
                  </c:pt>
                  <c:pt idx="205">
                    <c:v>Январь 2026</c:v>
                  </c:pt>
                  <c:pt idx="206">
                    <c:v>Январь 2026</c:v>
                  </c:pt>
                  <c:pt idx="207">
                    <c:v>Январь 2026</c:v>
                  </c:pt>
                  <c:pt idx="208">
                    <c:v>Январь 2026</c:v>
                  </c:pt>
                  <c:pt idx="209">
                    <c:v>Январь 2026</c:v>
                  </c:pt>
                  <c:pt idx="210">
                    <c:v>Январь 2026</c:v>
                  </c:pt>
                  <c:pt idx="211">
                    <c:v>Январь 2026</c:v>
                  </c:pt>
                  <c:pt idx="212">
                    <c:v>Январь 2026</c:v>
                  </c:pt>
                  <c:pt idx="213">
                    <c:v>Январь 2026</c:v>
                  </c:pt>
                  <c:pt idx="214">
                    <c:v>Февраль 2026</c:v>
                  </c:pt>
                  <c:pt idx="215">
                    <c:v>Февраль 2026</c:v>
                  </c:pt>
                  <c:pt idx="216">
                    <c:v>Февраль 2026</c:v>
                  </c:pt>
                  <c:pt idx="217">
                    <c:v>Февраль 2026</c:v>
                  </c:pt>
                  <c:pt idx="218">
                    <c:v>Февраль 2026</c:v>
                  </c:pt>
                  <c:pt idx="219">
                    <c:v>Февраль 2026</c:v>
                  </c:pt>
                  <c:pt idx="220">
                    <c:v>Февраль 2026</c:v>
                  </c:pt>
                  <c:pt idx="221">
                    <c:v>Февраль 2026</c:v>
                  </c:pt>
                  <c:pt idx="222">
                    <c:v>Февраль 2026</c:v>
                  </c:pt>
                  <c:pt idx="223">
                    <c:v>Февраль 2026</c:v>
                  </c:pt>
                  <c:pt idx="224">
                    <c:v>Февраль 2026</c:v>
                  </c:pt>
                  <c:pt idx="225">
                    <c:v>Февраль 2026</c:v>
                  </c:pt>
                  <c:pt idx="226">
                    <c:v>Февраль 2026</c:v>
                  </c:pt>
                  <c:pt idx="227">
                    <c:v>Февраль 2026</c:v>
                  </c:pt>
                  <c:pt idx="228">
                    <c:v>Февраль 2026</c:v>
                  </c:pt>
                  <c:pt idx="229">
                    <c:v>Февраль 2026</c:v>
                  </c:pt>
                  <c:pt idx="230">
                    <c:v>Февраль 2026</c:v>
                  </c:pt>
                  <c:pt idx="231">
                    <c:v>Февраль 2026</c:v>
                  </c:pt>
                  <c:pt idx="232">
                    <c:v>Февраль 2026</c:v>
                  </c:pt>
                  <c:pt idx="233">
                    <c:v>Февраль 2026</c:v>
                  </c:pt>
                  <c:pt idx="234">
                    <c:v>Февраль 2026</c:v>
                  </c:pt>
                  <c:pt idx="235">
                    <c:v>Февраль 2026</c:v>
                  </c:pt>
                  <c:pt idx="236">
                    <c:v>Февраль 2026</c:v>
                  </c:pt>
                  <c:pt idx="237">
                    <c:v>Февраль 2026</c:v>
                  </c:pt>
                  <c:pt idx="238">
                    <c:v>Февраль 2026</c:v>
                  </c:pt>
                  <c:pt idx="239">
                    <c:v>Февраль 2026</c:v>
                  </c:pt>
                  <c:pt idx="240">
                    <c:v>Февраль 2026</c:v>
                  </c:pt>
                  <c:pt idx="241">
                    <c:v>Февраль 2026</c:v>
                  </c:pt>
                  <c:pt idx="242">
                    <c:v>Март 2026</c:v>
                  </c:pt>
                  <c:pt idx="243">
                    <c:v>Март 2026</c:v>
                  </c:pt>
                  <c:pt idx="244">
                    <c:v>Март 2026</c:v>
                  </c:pt>
                  <c:pt idx="245">
                    <c:v>Март 2026</c:v>
                  </c:pt>
                  <c:pt idx="246">
                    <c:v>Март 2026</c:v>
                  </c:pt>
                  <c:pt idx="247">
                    <c:v>Март 2026</c:v>
                  </c:pt>
                  <c:pt idx="248">
                    <c:v>Март 2026</c:v>
                  </c:pt>
                  <c:pt idx="249">
                    <c:v>Март 2026</c:v>
                  </c:pt>
                  <c:pt idx="250">
                    <c:v>Март 2026</c:v>
                  </c:pt>
                  <c:pt idx="251">
                    <c:v>Март 2026</c:v>
                  </c:pt>
                  <c:pt idx="252">
                    <c:v>Март 2026</c:v>
                  </c:pt>
                  <c:pt idx="253">
                    <c:v>Март 2026</c:v>
                  </c:pt>
                  <c:pt idx="254">
                    <c:v>Март 2026</c:v>
                  </c:pt>
                  <c:pt idx="255">
                    <c:v>Март 2026</c:v>
                  </c:pt>
                  <c:pt idx="256">
                    <c:v>Март 2026</c:v>
                  </c:pt>
                  <c:pt idx="257">
                    <c:v>Март 2026</c:v>
                  </c:pt>
                  <c:pt idx="258">
                    <c:v>Март 2026</c:v>
                  </c:pt>
                  <c:pt idx="259">
                    <c:v>Март 2026</c:v>
                  </c:pt>
                  <c:pt idx="260">
                    <c:v>Март 2026</c:v>
                  </c:pt>
                  <c:pt idx="261">
                    <c:v>Март 2026</c:v>
                  </c:pt>
                  <c:pt idx="262">
                    <c:v>Март 2026</c:v>
                  </c:pt>
                  <c:pt idx="263">
                    <c:v>Март 2026</c:v>
                  </c:pt>
                  <c:pt idx="264">
                    <c:v>Март 2026</c:v>
                  </c:pt>
                  <c:pt idx="265">
                    <c:v>Март 2026</c:v>
                  </c:pt>
                  <c:pt idx="266">
                    <c:v>Март 2026</c:v>
                  </c:pt>
                  <c:pt idx="267">
                    <c:v>Март 2026</c:v>
                  </c:pt>
                  <c:pt idx="268">
                    <c:v>Март 2026</c:v>
                  </c:pt>
                  <c:pt idx="269">
                    <c:v>Март 2026</c:v>
                  </c:pt>
                  <c:pt idx="270">
                    <c:v>Март 2026</c:v>
                  </c:pt>
                  <c:pt idx="271">
                    <c:v>Март 2026</c:v>
                  </c:pt>
                  <c:pt idx="272">
                    <c:v>Март 2026</c:v>
                  </c:pt>
                  <c:pt idx="273">
                    <c:v>Апрель 2026</c:v>
                  </c:pt>
                  <c:pt idx="274">
                    <c:v>Апрель 2026</c:v>
                  </c:pt>
                  <c:pt idx="275">
                    <c:v>Апрель 2026</c:v>
                  </c:pt>
                  <c:pt idx="276">
                    <c:v>Апрель 2026</c:v>
                  </c:pt>
                  <c:pt idx="277">
                    <c:v>Апрель 2026</c:v>
                  </c:pt>
                  <c:pt idx="278">
                    <c:v>Апрель 2026</c:v>
                  </c:pt>
                  <c:pt idx="279">
                    <c:v>Апрель 2026</c:v>
                  </c:pt>
                  <c:pt idx="280">
                    <c:v>Апрель 2026</c:v>
                  </c:pt>
                  <c:pt idx="281">
                    <c:v>Апрель 2026</c:v>
                  </c:pt>
                  <c:pt idx="282">
                    <c:v>Апрель 2026</c:v>
                  </c:pt>
                  <c:pt idx="283">
                    <c:v>Апрель 2026</c:v>
                  </c:pt>
                  <c:pt idx="284">
                    <c:v>Апрель 2026</c:v>
                  </c:pt>
                  <c:pt idx="285">
                    <c:v>Апрель 2026</c:v>
                  </c:pt>
                  <c:pt idx="286">
                    <c:v>Апрель 2026</c:v>
                  </c:pt>
                  <c:pt idx="287">
                    <c:v>Апрель 2026</c:v>
                  </c:pt>
                  <c:pt idx="288">
                    <c:v>Апрель 2026</c:v>
                  </c:pt>
                  <c:pt idx="289">
                    <c:v>Апрель 2026</c:v>
                  </c:pt>
                  <c:pt idx="290">
                    <c:v>Апрель 2026</c:v>
                  </c:pt>
                  <c:pt idx="291">
                    <c:v>Апрель 2026</c:v>
                  </c:pt>
                  <c:pt idx="292">
                    <c:v>Апрель 2026</c:v>
                  </c:pt>
                  <c:pt idx="293">
                    <c:v>Апрель 2026</c:v>
                  </c:pt>
                  <c:pt idx="294">
                    <c:v>Апрель 2026</c:v>
                  </c:pt>
                  <c:pt idx="295">
                    <c:v>Апрель 2026</c:v>
                  </c:pt>
                  <c:pt idx="296">
                    <c:v>Апрель 2026</c:v>
                  </c:pt>
                  <c:pt idx="297">
                    <c:v>Апрель 2026</c:v>
                  </c:pt>
                  <c:pt idx="298">
                    <c:v>Апрель 2026</c:v>
                  </c:pt>
                  <c:pt idx="299">
                    <c:v>Апрель 2026</c:v>
                  </c:pt>
                  <c:pt idx="300">
                    <c:v>Апрель 2026</c:v>
                  </c:pt>
                  <c:pt idx="301">
                    <c:v>Апрель 2026</c:v>
                  </c:pt>
                  <c:pt idx="302">
                    <c:v>Апрель 2026</c:v>
                  </c:pt>
                </c:lvl>
                <c:lvl>
                  <c:pt idx="0">
                    <c:v>27</c:v>
                  </c:pt>
                  <c:pt idx="1">
                    <c:v>27</c:v>
                  </c:pt>
                  <c:pt idx="2">
                    <c:v>27</c:v>
                  </c:pt>
                  <c:pt idx="3">
                    <c:v>27</c:v>
                  </c:pt>
                  <c:pt idx="4">
                    <c:v>27</c:v>
                  </c:pt>
                  <c:pt idx="5">
                    <c:v>28</c:v>
                  </c:pt>
                  <c:pt idx="6">
                    <c:v>28</c:v>
                  </c:pt>
                  <c:pt idx="7">
                    <c:v>28</c:v>
                  </c:pt>
                  <c:pt idx="8">
                    <c:v>28</c:v>
                  </c:pt>
                  <c:pt idx="9">
                    <c:v>28</c:v>
                  </c:pt>
                  <c:pt idx="10">
                    <c:v>28</c:v>
                  </c:pt>
                  <c:pt idx="11">
                    <c:v>28</c:v>
                  </c:pt>
                  <c:pt idx="12">
                    <c:v>29</c:v>
                  </c:pt>
                  <c:pt idx="13">
                    <c:v>29</c:v>
                  </c:pt>
                  <c:pt idx="14">
                    <c:v>29</c:v>
                  </c:pt>
                  <c:pt idx="15">
                    <c:v>29</c:v>
                  </c:pt>
                  <c:pt idx="16">
                    <c:v>29</c:v>
                  </c:pt>
                  <c:pt idx="17">
                    <c:v>29</c:v>
                  </c:pt>
                  <c:pt idx="18">
                    <c:v>29</c:v>
                  </c:pt>
                  <c:pt idx="19">
                    <c:v>30</c:v>
                  </c:pt>
                  <c:pt idx="20">
                    <c:v>30</c:v>
                  </c:pt>
                  <c:pt idx="21">
                    <c:v>30</c:v>
                  </c:pt>
                  <c:pt idx="22">
                    <c:v>30</c:v>
                  </c:pt>
                  <c:pt idx="23">
                    <c:v>30</c:v>
                  </c:pt>
                  <c:pt idx="24">
                    <c:v>30</c:v>
                  </c:pt>
                  <c:pt idx="25">
                    <c:v>30</c:v>
                  </c:pt>
                  <c:pt idx="26">
                    <c:v>31</c:v>
                  </c:pt>
                  <c:pt idx="27">
                    <c:v>31</c:v>
                  </c:pt>
                  <c:pt idx="28">
                    <c:v>31</c:v>
                  </c:pt>
                  <c:pt idx="29">
                    <c:v>31</c:v>
                  </c:pt>
                  <c:pt idx="30">
                    <c:v>31</c:v>
                  </c:pt>
                  <c:pt idx="31">
                    <c:v>31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32</c:v>
                  </c:pt>
                  <c:pt idx="35">
                    <c:v>32</c:v>
                  </c:pt>
                  <c:pt idx="36">
                    <c:v>32</c:v>
                  </c:pt>
                  <c:pt idx="37">
                    <c:v>32</c:v>
                  </c:pt>
                  <c:pt idx="38">
                    <c:v>32</c:v>
                  </c:pt>
                  <c:pt idx="39">
                    <c:v>32</c:v>
                  </c:pt>
                  <c:pt idx="40">
                    <c:v>33</c:v>
                  </c:pt>
                  <c:pt idx="41">
                    <c:v>33</c:v>
                  </c:pt>
                  <c:pt idx="42">
                    <c:v>33</c:v>
                  </c:pt>
                  <c:pt idx="43">
                    <c:v>33</c:v>
                  </c:pt>
                  <c:pt idx="44">
                    <c:v>33</c:v>
                  </c:pt>
                  <c:pt idx="45">
                    <c:v>33</c:v>
                  </c:pt>
                  <c:pt idx="46">
                    <c:v>33</c:v>
                  </c:pt>
                  <c:pt idx="47">
                    <c:v>34</c:v>
                  </c:pt>
                  <c:pt idx="48">
                    <c:v>34</c:v>
                  </c:pt>
                  <c:pt idx="49">
                    <c:v>34</c:v>
                  </c:pt>
                  <c:pt idx="50">
                    <c:v>34</c:v>
                  </c:pt>
                  <c:pt idx="51">
                    <c:v>34</c:v>
                  </c:pt>
                  <c:pt idx="52">
                    <c:v>34</c:v>
                  </c:pt>
                  <c:pt idx="53">
                    <c:v>34</c:v>
                  </c:pt>
                  <c:pt idx="54">
                    <c:v>35</c:v>
                  </c:pt>
                  <c:pt idx="55">
                    <c:v>35</c:v>
                  </c:pt>
                  <c:pt idx="56">
                    <c:v>35</c:v>
                  </c:pt>
                  <c:pt idx="57">
                    <c:v>35</c:v>
                  </c:pt>
                  <c:pt idx="58">
                    <c:v>35</c:v>
                  </c:pt>
                  <c:pt idx="59">
                    <c:v>35</c:v>
                  </c:pt>
                  <c:pt idx="60">
                    <c:v>35</c:v>
                  </c:pt>
                  <c:pt idx="61">
                    <c:v>36</c:v>
                  </c:pt>
                  <c:pt idx="62">
                    <c:v>36</c:v>
                  </c:pt>
                  <c:pt idx="63">
                    <c:v>36</c:v>
                  </c:pt>
                  <c:pt idx="64">
                    <c:v>36</c:v>
                  </c:pt>
                  <c:pt idx="65">
                    <c:v>36</c:v>
                  </c:pt>
                  <c:pt idx="66">
                    <c:v>36</c:v>
                  </c:pt>
                  <c:pt idx="67">
                    <c:v>36</c:v>
                  </c:pt>
                  <c:pt idx="68">
                    <c:v>37</c:v>
                  </c:pt>
                  <c:pt idx="69">
                    <c:v>37</c:v>
                  </c:pt>
                  <c:pt idx="70">
                    <c:v>37</c:v>
                  </c:pt>
                  <c:pt idx="71">
                    <c:v>37</c:v>
                  </c:pt>
                  <c:pt idx="72">
                    <c:v>37</c:v>
                  </c:pt>
                  <c:pt idx="73">
                    <c:v>37</c:v>
                  </c:pt>
                  <c:pt idx="74">
                    <c:v>37</c:v>
                  </c:pt>
                  <c:pt idx="75">
                    <c:v>38</c:v>
                  </c:pt>
                  <c:pt idx="76">
                    <c:v>38</c:v>
                  </c:pt>
                  <c:pt idx="77">
                    <c:v>38</c:v>
                  </c:pt>
                  <c:pt idx="78">
                    <c:v>38</c:v>
                  </c:pt>
                  <c:pt idx="79">
                    <c:v>38</c:v>
                  </c:pt>
                  <c:pt idx="80">
                    <c:v>38</c:v>
                  </c:pt>
                  <c:pt idx="81">
                    <c:v>38</c:v>
                  </c:pt>
                  <c:pt idx="82">
                    <c:v>39</c:v>
                  </c:pt>
                  <c:pt idx="83">
                    <c:v>39</c:v>
                  </c:pt>
                  <c:pt idx="84">
                    <c:v>39</c:v>
                  </c:pt>
                  <c:pt idx="85">
                    <c:v>39</c:v>
                  </c:pt>
                  <c:pt idx="86">
                    <c:v>39</c:v>
                  </c:pt>
                  <c:pt idx="87">
                    <c:v>39</c:v>
                  </c:pt>
                  <c:pt idx="88">
                    <c:v>39</c:v>
                  </c:pt>
                  <c:pt idx="89">
                    <c:v>40</c:v>
                  </c:pt>
                  <c:pt idx="90">
                    <c:v>40</c:v>
                  </c:pt>
                  <c:pt idx="91">
                    <c:v>40</c:v>
                  </c:pt>
                  <c:pt idx="92">
                    <c:v>40</c:v>
                  </c:pt>
                  <c:pt idx="93">
                    <c:v>40</c:v>
                  </c:pt>
                  <c:pt idx="94">
                    <c:v>40</c:v>
                  </c:pt>
                  <c:pt idx="95">
                    <c:v>40</c:v>
                  </c:pt>
                  <c:pt idx="96">
                    <c:v>41</c:v>
                  </c:pt>
                  <c:pt idx="97">
                    <c:v>41</c:v>
                  </c:pt>
                  <c:pt idx="98">
                    <c:v>41</c:v>
                  </c:pt>
                  <c:pt idx="99">
                    <c:v>41</c:v>
                  </c:pt>
                  <c:pt idx="100">
                    <c:v>41</c:v>
                  </c:pt>
                  <c:pt idx="101">
                    <c:v>41</c:v>
                  </c:pt>
                  <c:pt idx="102">
                    <c:v>41</c:v>
                  </c:pt>
                  <c:pt idx="103">
                    <c:v>42</c:v>
                  </c:pt>
                  <c:pt idx="104">
                    <c:v>42</c:v>
                  </c:pt>
                  <c:pt idx="105">
                    <c:v>42</c:v>
                  </c:pt>
                  <c:pt idx="106">
                    <c:v>42</c:v>
                  </c:pt>
                  <c:pt idx="107">
                    <c:v>42</c:v>
                  </c:pt>
                  <c:pt idx="108">
                    <c:v>42</c:v>
                  </c:pt>
                  <c:pt idx="109">
                    <c:v>42</c:v>
                  </c:pt>
                  <c:pt idx="110">
                    <c:v>43</c:v>
                  </c:pt>
                  <c:pt idx="111">
                    <c:v>43</c:v>
                  </c:pt>
                  <c:pt idx="112">
                    <c:v>43</c:v>
                  </c:pt>
                  <c:pt idx="113">
                    <c:v>43</c:v>
                  </c:pt>
                  <c:pt idx="114">
                    <c:v>43</c:v>
                  </c:pt>
                  <c:pt idx="115">
                    <c:v>43</c:v>
                  </c:pt>
                  <c:pt idx="116">
                    <c:v>43</c:v>
                  </c:pt>
                  <c:pt idx="117">
                    <c:v>44</c:v>
                  </c:pt>
                  <c:pt idx="118">
                    <c:v>44</c:v>
                  </c:pt>
                  <c:pt idx="119">
                    <c:v>44</c:v>
                  </c:pt>
                  <c:pt idx="120">
                    <c:v>44</c:v>
                  </c:pt>
                  <c:pt idx="121">
                    <c:v>44</c:v>
                  </c:pt>
                  <c:pt idx="122">
                    <c:v>44</c:v>
                  </c:pt>
                  <c:pt idx="123">
                    <c:v>44</c:v>
                  </c:pt>
                  <c:pt idx="124">
                    <c:v>45</c:v>
                  </c:pt>
                  <c:pt idx="125">
                    <c:v>45</c:v>
                  </c:pt>
                  <c:pt idx="126">
                    <c:v>45</c:v>
                  </c:pt>
                  <c:pt idx="127">
                    <c:v>45</c:v>
                  </c:pt>
                  <c:pt idx="128">
                    <c:v>45</c:v>
                  </c:pt>
                  <c:pt idx="129">
                    <c:v>45</c:v>
                  </c:pt>
                  <c:pt idx="130">
                    <c:v>45</c:v>
                  </c:pt>
                  <c:pt idx="131">
                    <c:v>46</c:v>
                  </c:pt>
                  <c:pt idx="132">
                    <c:v>46</c:v>
                  </c:pt>
                  <c:pt idx="133">
                    <c:v>46</c:v>
                  </c:pt>
                  <c:pt idx="134">
                    <c:v>46</c:v>
                  </c:pt>
                  <c:pt idx="135">
                    <c:v>46</c:v>
                  </c:pt>
                  <c:pt idx="136">
                    <c:v>46</c:v>
                  </c:pt>
                  <c:pt idx="137">
                    <c:v>46</c:v>
                  </c:pt>
                  <c:pt idx="138">
                    <c:v>47</c:v>
                  </c:pt>
                  <c:pt idx="139">
                    <c:v>47</c:v>
                  </c:pt>
                  <c:pt idx="140">
                    <c:v>47</c:v>
                  </c:pt>
                  <c:pt idx="141">
                    <c:v>47</c:v>
                  </c:pt>
                  <c:pt idx="142">
                    <c:v>47</c:v>
                  </c:pt>
                  <c:pt idx="143">
                    <c:v>47</c:v>
                  </c:pt>
                  <c:pt idx="144">
                    <c:v>47</c:v>
                  </c:pt>
                  <c:pt idx="145">
                    <c:v>48</c:v>
                  </c:pt>
                  <c:pt idx="146">
                    <c:v>48</c:v>
                  </c:pt>
                  <c:pt idx="147">
                    <c:v>48</c:v>
                  </c:pt>
                  <c:pt idx="148">
                    <c:v>48</c:v>
                  </c:pt>
                  <c:pt idx="149">
                    <c:v>48</c:v>
                  </c:pt>
                  <c:pt idx="150">
                    <c:v>48</c:v>
                  </c:pt>
                  <c:pt idx="151">
                    <c:v>48</c:v>
                  </c:pt>
                  <c:pt idx="152">
                    <c:v>49</c:v>
                  </c:pt>
                  <c:pt idx="153">
                    <c:v>49</c:v>
                  </c:pt>
                  <c:pt idx="154">
                    <c:v>49</c:v>
                  </c:pt>
                  <c:pt idx="155">
                    <c:v>49</c:v>
                  </c:pt>
                  <c:pt idx="156">
                    <c:v>49</c:v>
                  </c:pt>
                  <c:pt idx="157">
                    <c:v>49</c:v>
                  </c:pt>
                  <c:pt idx="158">
                    <c:v>49</c:v>
                  </c:pt>
                  <c:pt idx="159">
                    <c:v>50</c:v>
                  </c:pt>
                  <c:pt idx="160">
                    <c:v>50</c:v>
                  </c:pt>
                  <c:pt idx="161">
                    <c:v>50</c:v>
                  </c:pt>
                  <c:pt idx="162">
                    <c:v>50</c:v>
                  </c:pt>
                  <c:pt idx="163">
                    <c:v>50</c:v>
                  </c:pt>
                  <c:pt idx="164">
                    <c:v>50</c:v>
                  </c:pt>
                  <c:pt idx="165">
                    <c:v>50</c:v>
                  </c:pt>
                  <c:pt idx="166">
                    <c:v>51</c:v>
                  </c:pt>
                  <c:pt idx="167">
                    <c:v>51</c:v>
                  </c:pt>
                  <c:pt idx="168">
                    <c:v>51</c:v>
                  </c:pt>
                  <c:pt idx="169">
                    <c:v>51</c:v>
                  </c:pt>
                  <c:pt idx="170">
                    <c:v>51</c:v>
                  </c:pt>
                  <c:pt idx="171">
                    <c:v>51</c:v>
                  </c:pt>
                  <c:pt idx="172">
                    <c:v>51</c:v>
                  </c:pt>
                  <c:pt idx="173">
                    <c:v>52</c:v>
                  </c:pt>
                  <c:pt idx="174">
                    <c:v>52</c:v>
                  </c:pt>
                  <c:pt idx="175">
                    <c:v>52</c:v>
                  </c:pt>
                  <c:pt idx="176">
                    <c:v>52</c:v>
                  </c:pt>
                  <c:pt idx="177">
                    <c:v>52</c:v>
                  </c:pt>
                  <c:pt idx="178">
                    <c:v>52</c:v>
                  </c:pt>
                  <c:pt idx="179">
                    <c:v>52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3</c:v>
                  </c:pt>
                  <c:pt idx="196">
                    <c:v>3</c:v>
                  </c:pt>
                  <c:pt idx="197">
                    <c:v>3</c:v>
                  </c:pt>
                  <c:pt idx="198">
                    <c:v>3</c:v>
                  </c:pt>
                  <c:pt idx="199">
                    <c:v>3</c:v>
                  </c:pt>
                  <c:pt idx="200">
                    <c:v>3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4</c:v>
                  </c:pt>
                  <c:pt idx="205">
                    <c:v>4</c:v>
                  </c:pt>
                  <c:pt idx="206">
                    <c:v>4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5</c:v>
                  </c:pt>
                  <c:pt idx="210">
                    <c:v>5</c:v>
                  </c:pt>
                  <c:pt idx="211">
                    <c:v>5</c:v>
                  </c:pt>
                  <c:pt idx="212">
                    <c:v>5</c:v>
                  </c:pt>
                  <c:pt idx="213">
                    <c:v>5</c:v>
                  </c:pt>
                  <c:pt idx="214">
                    <c:v>5</c:v>
                  </c:pt>
                  <c:pt idx="215">
                    <c:v>6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7</c:v>
                  </c:pt>
                  <c:pt idx="224">
                    <c:v>7</c:v>
                  </c:pt>
                  <c:pt idx="225">
                    <c:v>7</c:v>
                  </c:pt>
                  <c:pt idx="226">
                    <c:v>7</c:v>
                  </c:pt>
                  <c:pt idx="227">
                    <c:v>7</c:v>
                  </c:pt>
                  <c:pt idx="228">
                    <c:v>7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8</c:v>
                  </c:pt>
                  <c:pt idx="233">
                    <c:v>8</c:v>
                  </c:pt>
                  <c:pt idx="234">
                    <c:v>8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9</c:v>
                  </c:pt>
                  <c:pt idx="238">
                    <c:v>9</c:v>
                  </c:pt>
                  <c:pt idx="239">
                    <c:v>9</c:v>
                  </c:pt>
                  <c:pt idx="240">
                    <c:v>9</c:v>
                  </c:pt>
                  <c:pt idx="241">
                    <c:v>9</c:v>
                  </c:pt>
                  <c:pt idx="242">
                    <c:v>9</c:v>
                  </c:pt>
                  <c:pt idx="243">
                    <c:v>10</c:v>
                  </c:pt>
                  <c:pt idx="244">
                    <c:v>10</c:v>
                  </c:pt>
                  <c:pt idx="245">
                    <c:v>10</c:v>
                  </c:pt>
                  <c:pt idx="246">
                    <c:v>10</c:v>
                  </c:pt>
                  <c:pt idx="247">
                    <c:v>10</c:v>
                  </c:pt>
                  <c:pt idx="248">
                    <c:v>10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11</c:v>
                  </c:pt>
                  <c:pt idx="252">
                    <c:v>11</c:v>
                  </c:pt>
                  <c:pt idx="253">
                    <c:v>11</c:v>
                  </c:pt>
                  <c:pt idx="254">
                    <c:v>11</c:v>
                  </c:pt>
                  <c:pt idx="255">
                    <c:v>11</c:v>
                  </c:pt>
                  <c:pt idx="256">
                    <c:v>11</c:v>
                  </c:pt>
                  <c:pt idx="257">
                    <c:v>12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12</c:v>
                  </c:pt>
                  <c:pt idx="261">
                    <c:v>12</c:v>
                  </c:pt>
                  <c:pt idx="262">
                    <c:v>12</c:v>
                  </c:pt>
                  <c:pt idx="263">
                    <c:v>12</c:v>
                  </c:pt>
                  <c:pt idx="264">
                    <c:v>13</c:v>
                  </c:pt>
                  <c:pt idx="265">
                    <c:v>13</c:v>
                  </c:pt>
                  <c:pt idx="266">
                    <c:v>13</c:v>
                  </c:pt>
                  <c:pt idx="267">
                    <c:v>13</c:v>
                  </c:pt>
                  <c:pt idx="268">
                    <c:v>13</c:v>
                  </c:pt>
                  <c:pt idx="269">
                    <c:v>13</c:v>
                  </c:pt>
                  <c:pt idx="270">
                    <c:v>13</c:v>
                  </c:pt>
                  <c:pt idx="271">
                    <c:v>14</c:v>
                  </c:pt>
                  <c:pt idx="272">
                    <c:v>14</c:v>
                  </c:pt>
                  <c:pt idx="273">
                    <c:v>14</c:v>
                  </c:pt>
                  <c:pt idx="274">
                    <c:v>14</c:v>
                  </c:pt>
                  <c:pt idx="275">
                    <c:v>14</c:v>
                  </c:pt>
                  <c:pt idx="276">
                    <c:v>14</c:v>
                  </c:pt>
                  <c:pt idx="277">
                    <c:v>14</c:v>
                  </c:pt>
                  <c:pt idx="278">
                    <c:v>15</c:v>
                  </c:pt>
                  <c:pt idx="279">
                    <c:v>15</c:v>
                  </c:pt>
                  <c:pt idx="280">
                    <c:v>15</c:v>
                  </c:pt>
                  <c:pt idx="281">
                    <c:v>15</c:v>
                  </c:pt>
                  <c:pt idx="282">
                    <c:v>15</c:v>
                  </c:pt>
                  <c:pt idx="283">
                    <c:v>15</c:v>
                  </c:pt>
                  <c:pt idx="284">
                    <c:v>15</c:v>
                  </c:pt>
                  <c:pt idx="285">
                    <c:v>16</c:v>
                  </c:pt>
                  <c:pt idx="286">
                    <c:v>16</c:v>
                  </c:pt>
                  <c:pt idx="287">
                    <c:v>16</c:v>
                  </c:pt>
                  <c:pt idx="288">
                    <c:v>16</c:v>
                  </c:pt>
                  <c:pt idx="289">
                    <c:v>16</c:v>
                  </c:pt>
                  <c:pt idx="290">
                    <c:v>16</c:v>
                  </c:pt>
                  <c:pt idx="291">
                    <c:v>16</c:v>
                  </c:pt>
                  <c:pt idx="292">
                    <c:v>17</c:v>
                  </c:pt>
                  <c:pt idx="293">
                    <c:v>17</c:v>
                  </c:pt>
                  <c:pt idx="294">
                    <c:v>17</c:v>
                  </c:pt>
                  <c:pt idx="295">
                    <c:v>17</c:v>
                  </c:pt>
                  <c:pt idx="296">
                    <c:v>17</c:v>
                  </c:pt>
                  <c:pt idx="297">
                    <c:v>17</c:v>
                  </c:pt>
                  <c:pt idx="298">
                    <c:v>17</c:v>
                  </c:pt>
                  <c:pt idx="299">
                    <c:v>18</c:v>
                  </c:pt>
                  <c:pt idx="300">
                    <c:v>18</c:v>
                  </c:pt>
                  <c:pt idx="301">
                    <c:v>18</c:v>
                  </c:pt>
                  <c:pt idx="302">
                    <c:v>18</c:v>
                  </c:pt>
                </c:lvl>
                <c:lvl>
                  <c:pt idx="0">
                    <c:v>7</c:v>
                  </c:pt>
                  <c:pt idx="1">
                    <c:v>7</c:v>
                  </c:pt>
                  <c:pt idx="2">
                    <c:v>7</c:v>
                  </c:pt>
                  <c:pt idx="3">
                    <c:v>7</c:v>
                  </c:pt>
                  <c:pt idx="4">
                    <c:v>7</c:v>
                  </c:pt>
                  <c:pt idx="5">
                    <c:v>7</c:v>
                  </c:pt>
                  <c:pt idx="6">
                    <c:v>7</c:v>
                  </c:pt>
                  <c:pt idx="7">
                    <c:v>7</c:v>
                  </c:pt>
                  <c:pt idx="8">
                    <c:v>7</c:v>
                  </c:pt>
                  <c:pt idx="9">
                    <c:v>7</c:v>
                  </c:pt>
                  <c:pt idx="10">
                    <c:v>7</c:v>
                  </c:pt>
                  <c:pt idx="11">
                    <c:v>7</c:v>
                  </c:pt>
                  <c:pt idx="12">
                    <c:v>7</c:v>
                  </c:pt>
                  <c:pt idx="13">
                    <c:v>7</c:v>
                  </c:pt>
                  <c:pt idx="14">
                    <c:v>7</c:v>
                  </c:pt>
                  <c:pt idx="15">
                    <c:v>7</c:v>
                  </c:pt>
                  <c:pt idx="16">
                    <c:v>7</c:v>
                  </c:pt>
                  <c:pt idx="17">
                    <c:v>7</c:v>
                  </c:pt>
                  <c:pt idx="18">
                    <c:v>7</c:v>
                  </c:pt>
                  <c:pt idx="19">
                    <c:v>7</c:v>
                  </c:pt>
                  <c:pt idx="20">
                    <c:v>7</c:v>
                  </c:pt>
                  <c:pt idx="21">
                    <c:v>7</c:v>
                  </c:pt>
                  <c:pt idx="22">
                    <c:v>7</c:v>
                  </c:pt>
                  <c:pt idx="23">
                    <c:v>7</c:v>
                  </c:pt>
                  <c:pt idx="24">
                    <c:v>7</c:v>
                  </c:pt>
                  <c:pt idx="25">
                    <c:v>7</c:v>
                  </c:pt>
                  <c:pt idx="26">
                    <c:v>7</c:v>
                  </c:pt>
                  <c:pt idx="27">
                    <c:v>7</c:v>
                  </c:pt>
                  <c:pt idx="28">
                    <c:v>7</c:v>
                  </c:pt>
                  <c:pt idx="29">
                    <c:v>7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9</c:v>
                  </c:pt>
                  <c:pt idx="62">
                    <c:v>9</c:v>
                  </c:pt>
                  <c:pt idx="63">
                    <c:v>9</c:v>
                  </c:pt>
                  <c:pt idx="64">
                    <c:v>9</c:v>
                  </c:pt>
                  <c:pt idx="65">
                    <c:v>9</c:v>
                  </c:pt>
                  <c:pt idx="66">
                    <c:v>9</c:v>
                  </c:pt>
                  <c:pt idx="67">
                    <c:v>9</c:v>
                  </c:pt>
                  <c:pt idx="68">
                    <c:v>9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  <c:pt idx="79">
                    <c:v>9</c:v>
                  </c:pt>
                  <c:pt idx="80">
                    <c:v>9</c:v>
                  </c:pt>
                  <c:pt idx="81">
                    <c:v>9</c:v>
                  </c:pt>
                  <c:pt idx="82">
                    <c:v>9</c:v>
                  </c:pt>
                  <c:pt idx="83">
                    <c:v>9</c:v>
                  </c:pt>
                  <c:pt idx="84">
                    <c:v>9</c:v>
                  </c:pt>
                  <c:pt idx="85">
                    <c:v>9</c:v>
                  </c:pt>
                  <c:pt idx="86">
                    <c:v>9</c:v>
                  </c:pt>
                  <c:pt idx="87">
                    <c:v>9</c:v>
                  </c:pt>
                  <c:pt idx="88">
                    <c:v>9</c:v>
                  </c:pt>
                  <c:pt idx="89">
                    <c:v>9</c:v>
                  </c:pt>
                  <c:pt idx="90">
                    <c:v>9</c:v>
                  </c:pt>
                  <c:pt idx="91">
                    <c:v>10</c:v>
                  </c:pt>
                  <c:pt idx="92">
                    <c:v>10</c:v>
                  </c:pt>
                  <c:pt idx="93">
                    <c:v>10</c:v>
                  </c:pt>
                  <c:pt idx="94">
                    <c:v>10</c:v>
                  </c:pt>
                  <c:pt idx="95">
                    <c:v>10</c:v>
                  </c:pt>
                  <c:pt idx="96">
                    <c:v>10</c:v>
                  </c:pt>
                  <c:pt idx="97">
                    <c:v>10</c:v>
                  </c:pt>
                  <c:pt idx="98">
                    <c:v>10</c:v>
                  </c:pt>
                  <c:pt idx="99">
                    <c:v>10</c:v>
                  </c:pt>
                  <c:pt idx="100">
                    <c:v>10</c:v>
                  </c:pt>
                  <c:pt idx="101">
                    <c:v>10</c:v>
                  </c:pt>
                  <c:pt idx="102">
                    <c:v>10</c:v>
                  </c:pt>
                  <c:pt idx="103">
                    <c:v>10</c:v>
                  </c:pt>
                  <c:pt idx="104">
                    <c:v>10</c:v>
                  </c:pt>
                  <c:pt idx="105">
                    <c:v>10</c:v>
                  </c:pt>
                  <c:pt idx="106">
                    <c:v>10</c:v>
                  </c:pt>
                  <c:pt idx="107">
                    <c:v>10</c:v>
                  </c:pt>
                  <c:pt idx="108">
                    <c:v>10</c:v>
                  </c:pt>
                  <c:pt idx="109">
                    <c:v>10</c:v>
                  </c:pt>
                  <c:pt idx="110">
                    <c:v>10</c:v>
                  </c:pt>
                  <c:pt idx="111">
                    <c:v>10</c:v>
                  </c:pt>
                  <c:pt idx="112">
                    <c:v>10</c:v>
                  </c:pt>
                  <c:pt idx="113">
                    <c:v>10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10</c:v>
                  </c:pt>
                  <c:pt idx="117">
                    <c:v>10</c:v>
                  </c:pt>
                  <c:pt idx="118">
                    <c:v>10</c:v>
                  </c:pt>
                  <c:pt idx="119">
                    <c:v>10</c:v>
                  </c:pt>
                  <c:pt idx="120">
                    <c:v>10</c:v>
                  </c:pt>
                  <c:pt idx="121">
                    <c:v>10</c:v>
                  </c:pt>
                  <c:pt idx="122">
                    <c:v>11</c:v>
                  </c:pt>
                  <c:pt idx="123">
                    <c:v>11</c:v>
                  </c:pt>
                  <c:pt idx="124">
                    <c:v>11</c:v>
                  </c:pt>
                  <c:pt idx="125">
                    <c:v>11</c:v>
                  </c:pt>
                  <c:pt idx="126">
                    <c:v>11</c:v>
                  </c:pt>
                  <c:pt idx="127">
                    <c:v>11</c:v>
                  </c:pt>
                  <c:pt idx="128">
                    <c:v>11</c:v>
                  </c:pt>
                  <c:pt idx="129">
                    <c:v>11</c:v>
                  </c:pt>
                  <c:pt idx="130">
                    <c:v>11</c:v>
                  </c:pt>
                  <c:pt idx="131">
                    <c:v>11</c:v>
                  </c:pt>
                  <c:pt idx="132">
                    <c:v>11</c:v>
                  </c:pt>
                  <c:pt idx="133">
                    <c:v>11</c:v>
                  </c:pt>
                  <c:pt idx="134">
                    <c:v>11</c:v>
                  </c:pt>
                  <c:pt idx="135">
                    <c:v>11</c:v>
                  </c:pt>
                  <c:pt idx="136">
                    <c:v>11</c:v>
                  </c:pt>
                  <c:pt idx="137">
                    <c:v>11</c:v>
                  </c:pt>
                  <c:pt idx="138">
                    <c:v>11</c:v>
                  </c:pt>
                  <c:pt idx="139">
                    <c:v>11</c:v>
                  </c:pt>
                  <c:pt idx="140">
                    <c:v>11</c:v>
                  </c:pt>
                  <c:pt idx="141">
                    <c:v>11</c:v>
                  </c:pt>
                  <c:pt idx="142">
                    <c:v>11</c:v>
                  </c:pt>
                  <c:pt idx="143">
                    <c:v>11</c:v>
                  </c:pt>
                  <c:pt idx="144">
                    <c:v>11</c:v>
                  </c:pt>
                  <c:pt idx="145">
                    <c:v>11</c:v>
                  </c:pt>
                  <c:pt idx="146">
                    <c:v>11</c:v>
                  </c:pt>
                  <c:pt idx="147">
                    <c:v>11</c:v>
                  </c:pt>
                  <c:pt idx="148">
                    <c:v>11</c:v>
                  </c:pt>
                  <c:pt idx="149">
                    <c:v>11</c:v>
                  </c:pt>
                  <c:pt idx="150">
                    <c:v>11</c:v>
                  </c:pt>
                  <c:pt idx="151">
                    <c:v>11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1</c:v>
                  </c:pt>
                  <c:pt idx="193">
                    <c:v>1</c:v>
                  </c:pt>
                  <c:pt idx="194">
                    <c:v>1</c:v>
                  </c:pt>
                  <c:pt idx="195">
                    <c:v>1</c:v>
                  </c:pt>
                  <c:pt idx="196">
                    <c:v>1</c:v>
                  </c:pt>
                  <c:pt idx="197">
                    <c:v>1</c:v>
                  </c:pt>
                  <c:pt idx="198">
                    <c:v>1</c:v>
                  </c:pt>
                  <c:pt idx="199">
                    <c:v>1</c:v>
                  </c:pt>
                  <c:pt idx="200">
                    <c:v>1</c:v>
                  </c:pt>
                  <c:pt idx="201">
                    <c:v>1</c:v>
                  </c:pt>
                  <c:pt idx="202">
                    <c:v>1</c:v>
                  </c:pt>
                  <c:pt idx="203">
                    <c:v>1</c:v>
                  </c:pt>
                  <c:pt idx="204">
                    <c:v>1</c:v>
                  </c:pt>
                  <c:pt idx="205">
                    <c:v>1</c:v>
                  </c:pt>
                  <c:pt idx="206">
                    <c:v>1</c:v>
                  </c:pt>
                  <c:pt idx="207">
                    <c:v>1</c:v>
                  </c:pt>
                  <c:pt idx="208">
                    <c:v>1</c:v>
                  </c:pt>
                  <c:pt idx="209">
                    <c:v>1</c:v>
                  </c:pt>
                  <c:pt idx="210">
                    <c:v>1</c:v>
                  </c:pt>
                  <c:pt idx="211">
                    <c:v>1</c:v>
                  </c:pt>
                  <c:pt idx="212">
                    <c:v>1</c:v>
                  </c:pt>
                  <c:pt idx="213">
                    <c:v>1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  <c:pt idx="252">
                    <c:v>3</c:v>
                  </c:pt>
                  <c:pt idx="253">
                    <c:v>3</c:v>
                  </c:pt>
                  <c:pt idx="254">
                    <c:v>3</c:v>
                  </c:pt>
                  <c:pt idx="255">
                    <c:v>3</c:v>
                  </c:pt>
                  <c:pt idx="256">
                    <c:v>3</c:v>
                  </c:pt>
                  <c:pt idx="257">
                    <c:v>3</c:v>
                  </c:pt>
                  <c:pt idx="258">
                    <c:v>3</c:v>
                  </c:pt>
                  <c:pt idx="259">
                    <c:v>3</c:v>
                  </c:pt>
                  <c:pt idx="260">
                    <c:v>3</c:v>
                  </c:pt>
                  <c:pt idx="261">
                    <c:v>3</c:v>
                  </c:pt>
                  <c:pt idx="262">
                    <c:v>3</c:v>
                  </c:pt>
                  <c:pt idx="263">
                    <c:v>3</c:v>
                  </c:pt>
                  <c:pt idx="264">
                    <c:v>3</c:v>
                  </c:pt>
                  <c:pt idx="265">
                    <c:v>3</c:v>
                  </c:pt>
                  <c:pt idx="266">
                    <c:v>3</c:v>
                  </c:pt>
                  <c:pt idx="267">
                    <c:v>3</c:v>
                  </c:pt>
                  <c:pt idx="268">
                    <c:v>3</c:v>
                  </c:pt>
                  <c:pt idx="269">
                    <c:v>3</c:v>
                  </c:pt>
                  <c:pt idx="270">
                    <c:v>3</c:v>
                  </c:pt>
                  <c:pt idx="271">
                    <c:v>3</c:v>
                  </c:pt>
                  <c:pt idx="272">
                    <c:v>3</c:v>
                  </c:pt>
                  <c:pt idx="273">
                    <c:v>4</c:v>
                  </c:pt>
                  <c:pt idx="274">
                    <c:v>4</c:v>
                  </c:pt>
                  <c:pt idx="275">
                    <c:v>4</c:v>
                  </c:pt>
                  <c:pt idx="276">
                    <c:v>4</c:v>
                  </c:pt>
                  <c:pt idx="277">
                    <c:v>4</c:v>
                  </c:pt>
                  <c:pt idx="278">
                    <c:v>4</c:v>
                  </c:pt>
                  <c:pt idx="279">
                    <c:v>4</c:v>
                  </c:pt>
                  <c:pt idx="280">
                    <c:v>4</c:v>
                  </c:pt>
                  <c:pt idx="281">
                    <c:v>4</c:v>
                  </c:pt>
                  <c:pt idx="282">
                    <c:v>4</c:v>
                  </c:pt>
                  <c:pt idx="283">
                    <c:v>4</c:v>
                  </c:pt>
                  <c:pt idx="284">
                    <c:v>4</c:v>
                  </c:pt>
                  <c:pt idx="285">
                    <c:v>4</c:v>
                  </c:pt>
                  <c:pt idx="286">
                    <c:v>4</c:v>
                  </c:pt>
                  <c:pt idx="287">
                    <c:v>4</c:v>
                  </c:pt>
                  <c:pt idx="288">
                    <c:v>4</c:v>
                  </c:pt>
                  <c:pt idx="289">
                    <c:v>4</c:v>
                  </c:pt>
                  <c:pt idx="290">
                    <c:v>4</c:v>
                  </c:pt>
                  <c:pt idx="291">
                    <c:v>4</c:v>
                  </c:pt>
                  <c:pt idx="292">
                    <c:v>4</c:v>
                  </c:pt>
                  <c:pt idx="293">
                    <c:v>4</c:v>
                  </c:pt>
                  <c:pt idx="294">
                    <c:v>4</c:v>
                  </c:pt>
                  <c:pt idx="295">
                    <c:v>4</c:v>
                  </c:pt>
                  <c:pt idx="296">
                    <c:v>4</c:v>
                  </c:pt>
                  <c:pt idx="297">
                    <c:v>4</c:v>
                  </c:pt>
                  <c:pt idx="298">
                    <c:v>4</c:v>
                  </c:pt>
                  <c:pt idx="299">
                    <c:v>4</c:v>
                  </c:pt>
                  <c:pt idx="300">
                    <c:v>4</c:v>
                  </c:pt>
                  <c:pt idx="301">
                    <c:v>4</c:v>
                  </c:pt>
                  <c:pt idx="302">
                    <c:v>4</c:v>
                  </c:pt>
                </c:lvl>
              </c:multiLvlStrCache>
            </c:multiLvlStrRef>
          </c:cat>
          <c:val>
            <c:numRef>
              <c:f>report!$D$2:$D$304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F-4F69-BD76-E1932784B55E}"/>
            </c:ext>
          </c:extLst>
        </c:ser>
        <c:ser>
          <c:idx val="1"/>
          <c:order val="1"/>
          <c:tx>
            <c:strRef>
              <c:f>report!$E$1</c:f>
              <c:strCache>
                <c:ptCount val="1"/>
                <c:pt idx="0">
                  <c:v>WAU</c:v>
                </c:pt>
              </c:strCache>
            </c:strRef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report!$A$2:$C$304</c:f>
              <c:multiLvlStrCache>
                <c:ptCount val="303"/>
                <c:lvl>
                  <c:pt idx="0">
                    <c:v>Июль 2025</c:v>
                  </c:pt>
                  <c:pt idx="1">
                    <c:v>Июль 2025</c:v>
                  </c:pt>
                  <c:pt idx="2">
                    <c:v>Июль 2025</c:v>
                  </c:pt>
                  <c:pt idx="3">
                    <c:v>Июль 2025</c:v>
                  </c:pt>
                  <c:pt idx="4">
                    <c:v>Июль 2025</c:v>
                  </c:pt>
                  <c:pt idx="5">
                    <c:v>Июль 2025</c:v>
                  </c:pt>
                  <c:pt idx="6">
                    <c:v>Июль 2025</c:v>
                  </c:pt>
                  <c:pt idx="7">
                    <c:v>Июль 2025</c:v>
                  </c:pt>
                  <c:pt idx="8">
                    <c:v>Июль 2025</c:v>
                  </c:pt>
                  <c:pt idx="9">
                    <c:v>Июль 2025</c:v>
                  </c:pt>
                  <c:pt idx="10">
                    <c:v>Июль 2025</c:v>
                  </c:pt>
                  <c:pt idx="11">
                    <c:v>Июль 2025</c:v>
                  </c:pt>
                  <c:pt idx="12">
                    <c:v>Июль 2025</c:v>
                  </c:pt>
                  <c:pt idx="13">
                    <c:v>Июль 2025</c:v>
                  </c:pt>
                  <c:pt idx="14">
                    <c:v>Июль 2025</c:v>
                  </c:pt>
                  <c:pt idx="15">
                    <c:v>Июль 2025</c:v>
                  </c:pt>
                  <c:pt idx="16">
                    <c:v>Июль 2025</c:v>
                  </c:pt>
                  <c:pt idx="17">
                    <c:v>Июль 2025</c:v>
                  </c:pt>
                  <c:pt idx="18">
                    <c:v>Июль 2025</c:v>
                  </c:pt>
                  <c:pt idx="19">
                    <c:v>Июль 2025</c:v>
                  </c:pt>
                  <c:pt idx="20">
                    <c:v>Июль 2025</c:v>
                  </c:pt>
                  <c:pt idx="21">
                    <c:v>Июль 2025</c:v>
                  </c:pt>
                  <c:pt idx="22">
                    <c:v>Июль 2025</c:v>
                  </c:pt>
                  <c:pt idx="23">
                    <c:v>Июль 2025</c:v>
                  </c:pt>
                  <c:pt idx="24">
                    <c:v>Июль 2025</c:v>
                  </c:pt>
                  <c:pt idx="25">
                    <c:v>Июль 2025</c:v>
                  </c:pt>
                  <c:pt idx="26">
                    <c:v>Июль 2025</c:v>
                  </c:pt>
                  <c:pt idx="27">
                    <c:v>Июль 2025</c:v>
                  </c:pt>
                  <c:pt idx="28">
                    <c:v>Июль 2025</c:v>
                  </c:pt>
                  <c:pt idx="29">
                    <c:v>Июль 2025</c:v>
                  </c:pt>
                  <c:pt idx="30">
                    <c:v>Август 2025</c:v>
                  </c:pt>
                  <c:pt idx="31">
                    <c:v>Август 2025</c:v>
                  </c:pt>
                  <c:pt idx="32">
                    <c:v>Август 2025</c:v>
                  </c:pt>
                  <c:pt idx="33">
                    <c:v>Август 2025</c:v>
                  </c:pt>
                  <c:pt idx="34">
                    <c:v>Август 2025</c:v>
                  </c:pt>
                  <c:pt idx="35">
                    <c:v>Август 2025</c:v>
                  </c:pt>
                  <c:pt idx="36">
                    <c:v>Август 2025</c:v>
                  </c:pt>
                  <c:pt idx="37">
                    <c:v>Август 2025</c:v>
                  </c:pt>
                  <c:pt idx="38">
                    <c:v>Август 2025</c:v>
                  </c:pt>
                  <c:pt idx="39">
                    <c:v>Август 2025</c:v>
                  </c:pt>
                  <c:pt idx="40">
                    <c:v>Август 2025</c:v>
                  </c:pt>
                  <c:pt idx="41">
                    <c:v>Август 2025</c:v>
                  </c:pt>
                  <c:pt idx="42">
                    <c:v>Август 2025</c:v>
                  </c:pt>
                  <c:pt idx="43">
                    <c:v>Август 2025</c:v>
                  </c:pt>
                  <c:pt idx="44">
                    <c:v>Август 2025</c:v>
                  </c:pt>
                  <c:pt idx="45">
                    <c:v>Август 2025</c:v>
                  </c:pt>
                  <c:pt idx="46">
                    <c:v>Август 2025</c:v>
                  </c:pt>
                  <c:pt idx="47">
                    <c:v>Август 2025</c:v>
                  </c:pt>
                  <c:pt idx="48">
                    <c:v>Август 2025</c:v>
                  </c:pt>
                  <c:pt idx="49">
                    <c:v>Август 2025</c:v>
                  </c:pt>
                  <c:pt idx="50">
                    <c:v>Август 2025</c:v>
                  </c:pt>
                  <c:pt idx="51">
                    <c:v>Август 2025</c:v>
                  </c:pt>
                  <c:pt idx="52">
                    <c:v>Август 2025</c:v>
                  </c:pt>
                  <c:pt idx="53">
                    <c:v>Август 2025</c:v>
                  </c:pt>
                  <c:pt idx="54">
                    <c:v>Август 2025</c:v>
                  </c:pt>
                  <c:pt idx="55">
                    <c:v>Август 2025</c:v>
                  </c:pt>
                  <c:pt idx="56">
                    <c:v>Август 2025</c:v>
                  </c:pt>
                  <c:pt idx="57">
                    <c:v>Август 2025</c:v>
                  </c:pt>
                  <c:pt idx="58">
                    <c:v>Август 2025</c:v>
                  </c:pt>
                  <c:pt idx="59">
                    <c:v>Август 2025</c:v>
                  </c:pt>
                  <c:pt idx="60">
                    <c:v>Август 2025</c:v>
                  </c:pt>
                  <c:pt idx="61">
                    <c:v>Сентябрь 2025</c:v>
                  </c:pt>
                  <c:pt idx="62">
                    <c:v>Сентябрь 2025</c:v>
                  </c:pt>
                  <c:pt idx="63">
                    <c:v>Сентябрь 2025</c:v>
                  </c:pt>
                  <c:pt idx="64">
                    <c:v>Сентябрь 2025</c:v>
                  </c:pt>
                  <c:pt idx="65">
                    <c:v>Сентябрь 2025</c:v>
                  </c:pt>
                  <c:pt idx="66">
                    <c:v>Сентябрь 2025</c:v>
                  </c:pt>
                  <c:pt idx="67">
                    <c:v>Сентябрь 2025</c:v>
                  </c:pt>
                  <c:pt idx="68">
                    <c:v>Сентябрь 2025</c:v>
                  </c:pt>
                  <c:pt idx="69">
                    <c:v>Сентябрь 2025</c:v>
                  </c:pt>
                  <c:pt idx="70">
                    <c:v>Сентябрь 2025</c:v>
                  </c:pt>
                  <c:pt idx="71">
                    <c:v>Сентябрь 2025</c:v>
                  </c:pt>
                  <c:pt idx="72">
                    <c:v>Сентябрь 2025</c:v>
                  </c:pt>
                  <c:pt idx="73">
                    <c:v>Сентябрь 2025</c:v>
                  </c:pt>
                  <c:pt idx="74">
                    <c:v>Сентябрь 2025</c:v>
                  </c:pt>
                  <c:pt idx="75">
                    <c:v>Сентябрь 2025</c:v>
                  </c:pt>
                  <c:pt idx="76">
                    <c:v>Сентябрь 2025</c:v>
                  </c:pt>
                  <c:pt idx="77">
                    <c:v>Сентябрь 2025</c:v>
                  </c:pt>
                  <c:pt idx="78">
                    <c:v>Сентябрь 2025</c:v>
                  </c:pt>
                  <c:pt idx="79">
                    <c:v>Сентябрь 2025</c:v>
                  </c:pt>
                  <c:pt idx="80">
                    <c:v>Сентябрь 2025</c:v>
                  </c:pt>
                  <c:pt idx="81">
                    <c:v>Сентябрь 2025</c:v>
                  </c:pt>
                  <c:pt idx="82">
                    <c:v>Сентябрь 2025</c:v>
                  </c:pt>
                  <c:pt idx="83">
                    <c:v>Сентябрь 2025</c:v>
                  </c:pt>
                  <c:pt idx="84">
                    <c:v>Сентябрь 2025</c:v>
                  </c:pt>
                  <c:pt idx="85">
                    <c:v>Сентябрь 2025</c:v>
                  </c:pt>
                  <c:pt idx="86">
                    <c:v>Сентябрь 2025</c:v>
                  </c:pt>
                  <c:pt idx="87">
                    <c:v>Сентябрь 2025</c:v>
                  </c:pt>
                  <c:pt idx="88">
                    <c:v>Сентябрь 2025</c:v>
                  </c:pt>
                  <c:pt idx="89">
                    <c:v>Сентябрь 2025</c:v>
                  </c:pt>
                  <c:pt idx="90">
                    <c:v>Сентябрь 2025</c:v>
                  </c:pt>
                  <c:pt idx="91">
                    <c:v>Октябрь 2025</c:v>
                  </c:pt>
                  <c:pt idx="92">
                    <c:v>Октябрь 2025</c:v>
                  </c:pt>
                  <c:pt idx="93">
                    <c:v>Октябрь 2025</c:v>
                  </c:pt>
                  <c:pt idx="94">
                    <c:v>Октябрь 2025</c:v>
                  </c:pt>
                  <c:pt idx="95">
                    <c:v>Октябрь 2025</c:v>
                  </c:pt>
                  <c:pt idx="96">
                    <c:v>Октябрь 2025</c:v>
                  </c:pt>
                  <c:pt idx="97">
                    <c:v>Октябрь 2025</c:v>
                  </c:pt>
                  <c:pt idx="98">
                    <c:v>Октябрь 2025</c:v>
                  </c:pt>
                  <c:pt idx="99">
                    <c:v>Октябрь 2025</c:v>
                  </c:pt>
                  <c:pt idx="100">
                    <c:v>Октябрь 2025</c:v>
                  </c:pt>
                  <c:pt idx="101">
                    <c:v>Октябрь 2025</c:v>
                  </c:pt>
                  <c:pt idx="102">
                    <c:v>Октябрь 2025</c:v>
                  </c:pt>
                  <c:pt idx="103">
                    <c:v>Октябрь 2025</c:v>
                  </c:pt>
                  <c:pt idx="104">
                    <c:v>Октябрь 2025</c:v>
                  </c:pt>
                  <c:pt idx="105">
                    <c:v>Октябрь 2025</c:v>
                  </c:pt>
                  <c:pt idx="106">
                    <c:v>Октябрь 2025</c:v>
                  </c:pt>
                  <c:pt idx="107">
                    <c:v>Октябрь 2025</c:v>
                  </c:pt>
                  <c:pt idx="108">
                    <c:v>Октябрь 2025</c:v>
                  </c:pt>
                  <c:pt idx="109">
                    <c:v>Октябрь 2025</c:v>
                  </c:pt>
                  <c:pt idx="110">
                    <c:v>Октябрь 2025</c:v>
                  </c:pt>
                  <c:pt idx="111">
                    <c:v>Октябрь 2025</c:v>
                  </c:pt>
                  <c:pt idx="112">
                    <c:v>Октябрь 2025</c:v>
                  </c:pt>
                  <c:pt idx="113">
                    <c:v>Октябрь 2025</c:v>
                  </c:pt>
                  <c:pt idx="114">
                    <c:v>Октябрь 2025</c:v>
                  </c:pt>
                  <c:pt idx="115">
                    <c:v>Октябрь 2025</c:v>
                  </c:pt>
                  <c:pt idx="116">
                    <c:v>Октябрь 2025</c:v>
                  </c:pt>
                  <c:pt idx="117">
                    <c:v>Октябрь 2025</c:v>
                  </c:pt>
                  <c:pt idx="118">
                    <c:v>Октябрь 2025</c:v>
                  </c:pt>
                  <c:pt idx="119">
                    <c:v>Октябрь 2025</c:v>
                  </c:pt>
                  <c:pt idx="120">
                    <c:v>Октябрь 2025</c:v>
                  </c:pt>
                  <c:pt idx="121">
                    <c:v>Октябрь 2025</c:v>
                  </c:pt>
                  <c:pt idx="122">
                    <c:v>Ноябрь 2025</c:v>
                  </c:pt>
                  <c:pt idx="123">
                    <c:v>Ноябрь 2025</c:v>
                  </c:pt>
                  <c:pt idx="124">
                    <c:v>Ноябрь 2025</c:v>
                  </c:pt>
                  <c:pt idx="125">
                    <c:v>Ноябрь 2025</c:v>
                  </c:pt>
                  <c:pt idx="126">
                    <c:v>Ноябрь 2025</c:v>
                  </c:pt>
                  <c:pt idx="127">
                    <c:v>Ноябрь 2025</c:v>
                  </c:pt>
                  <c:pt idx="128">
                    <c:v>Ноябрь 2025</c:v>
                  </c:pt>
                  <c:pt idx="129">
                    <c:v>Ноябрь 2025</c:v>
                  </c:pt>
                  <c:pt idx="130">
                    <c:v>Ноябрь 2025</c:v>
                  </c:pt>
                  <c:pt idx="131">
                    <c:v>Ноябрь 2025</c:v>
                  </c:pt>
                  <c:pt idx="132">
                    <c:v>Ноябрь 2025</c:v>
                  </c:pt>
                  <c:pt idx="133">
                    <c:v>Ноябрь 2025</c:v>
                  </c:pt>
                  <c:pt idx="134">
                    <c:v>Ноябрь 2025</c:v>
                  </c:pt>
                  <c:pt idx="135">
                    <c:v>Ноябрь 2025</c:v>
                  </c:pt>
                  <c:pt idx="136">
                    <c:v>Ноябрь 2025</c:v>
                  </c:pt>
                  <c:pt idx="137">
                    <c:v>Ноябрь 2025</c:v>
                  </c:pt>
                  <c:pt idx="138">
                    <c:v>Ноябрь 2025</c:v>
                  </c:pt>
                  <c:pt idx="139">
                    <c:v>Ноябрь 2025</c:v>
                  </c:pt>
                  <c:pt idx="140">
                    <c:v>Ноябрь 2025</c:v>
                  </c:pt>
                  <c:pt idx="141">
                    <c:v>Ноябрь 2025</c:v>
                  </c:pt>
                  <c:pt idx="142">
                    <c:v>Ноябрь 2025</c:v>
                  </c:pt>
                  <c:pt idx="143">
                    <c:v>Ноябрь 2025</c:v>
                  </c:pt>
                  <c:pt idx="144">
                    <c:v>Ноябрь 2025</c:v>
                  </c:pt>
                  <c:pt idx="145">
                    <c:v>Ноябрь 2025</c:v>
                  </c:pt>
                  <c:pt idx="146">
                    <c:v>Ноябрь 2025</c:v>
                  </c:pt>
                  <c:pt idx="147">
                    <c:v>Ноябрь 2025</c:v>
                  </c:pt>
                  <c:pt idx="148">
                    <c:v>Ноябрь 2025</c:v>
                  </c:pt>
                  <c:pt idx="149">
                    <c:v>Ноябрь 2025</c:v>
                  </c:pt>
                  <c:pt idx="150">
                    <c:v>Ноябрь 2025</c:v>
                  </c:pt>
                  <c:pt idx="151">
                    <c:v>Ноябрь 2025</c:v>
                  </c:pt>
                  <c:pt idx="152">
                    <c:v>Декабрь 2025</c:v>
                  </c:pt>
                  <c:pt idx="153">
                    <c:v>Декабрь 2025</c:v>
                  </c:pt>
                  <c:pt idx="154">
                    <c:v>Декабрь 2025</c:v>
                  </c:pt>
                  <c:pt idx="155">
                    <c:v>Декабрь 2025</c:v>
                  </c:pt>
                  <c:pt idx="156">
                    <c:v>Декабрь 2025</c:v>
                  </c:pt>
                  <c:pt idx="157">
                    <c:v>Декабрь 2025</c:v>
                  </c:pt>
                  <c:pt idx="158">
                    <c:v>Декабрь 2025</c:v>
                  </c:pt>
                  <c:pt idx="159">
                    <c:v>Декабрь 2025</c:v>
                  </c:pt>
                  <c:pt idx="160">
                    <c:v>Декабрь 2025</c:v>
                  </c:pt>
                  <c:pt idx="161">
                    <c:v>Декабрь 2025</c:v>
                  </c:pt>
                  <c:pt idx="162">
                    <c:v>Декабрь 2025</c:v>
                  </c:pt>
                  <c:pt idx="163">
                    <c:v>Декабрь 2025</c:v>
                  </c:pt>
                  <c:pt idx="164">
                    <c:v>Декабрь 2025</c:v>
                  </c:pt>
                  <c:pt idx="165">
                    <c:v>Декабрь 2025</c:v>
                  </c:pt>
                  <c:pt idx="166">
                    <c:v>Декабрь 2025</c:v>
                  </c:pt>
                  <c:pt idx="167">
                    <c:v>Декабрь 2025</c:v>
                  </c:pt>
                  <c:pt idx="168">
                    <c:v>Декабрь 2025</c:v>
                  </c:pt>
                  <c:pt idx="169">
                    <c:v>Декабрь 2025</c:v>
                  </c:pt>
                  <c:pt idx="170">
                    <c:v>Декабрь 2025</c:v>
                  </c:pt>
                  <c:pt idx="171">
                    <c:v>Декабрь 2025</c:v>
                  </c:pt>
                  <c:pt idx="172">
                    <c:v>Декабрь 2025</c:v>
                  </c:pt>
                  <c:pt idx="173">
                    <c:v>Декабрь 2025</c:v>
                  </c:pt>
                  <c:pt idx="174">
                    <c:v>Декабрь 2025</c:v>
                  </c:pt>
                  <c:pt idx="175">
                    <c:v>Декабрь 2025</c:v>
                  </c:pt>
                  <c:pt idx="176">
                    <c:v>Декабрь 2025</c:v>
                  </c:pt>
                  <c:pt idx="177">
                    <c:v>Декабрь 2025</c:v>
                  </c:pt>
                  <c:pt idx="178">
                    <c:v>Декабрь 2025</c:v>
                  </c:pt>
                  <c:pt idx="179">
                    <c:v>Декабрь 2025</c:v>
                  </c:pt>
                  <c:pt idx="180">
                    <c:v>Декабрь 2025</c:v>
                  </c:pt>
                  <c:pt idx="181">
                    <c:v>Декабрь 2025</c:v>
                  </c:pt>
                  <c:pt idx="182">
                    <c:v>Декабрь 2025</c:v>
                  </c:pt>
                  <c:pt idx="183">
                    <c:v>Январь 2026</c:v>
                  </c:pt>
                  <c:pt idx="184">
                    <c:v>Январь 2026</c:v>
                  </c:pt>
                  <c:pt idx="185">
                    <c:v>Январь 2026</c:v>
                  </c:pt>
                  <c:pt idx="186">
                    <c:v>Январь 2026</c:v>
                  </c:pt>
                  <c:pt idx="187">
                    <c:v>Январь 2026</c:v>
                  </c:pt>
                  <c:pt idx="188">
                    <c:v>Январь 2026</c:v>
                  </c:pt>
                  <c:pt idx="189">
                    <c:v>Январь 2026</c:v>
                  </c:pt>
                  <c:pt idx="190">
                    <c:v>Январь 2026</c:v>
                  </c:pt>
                  <c:pt idx="191">
                    <c:v>Январь 2026</c:v>
                  </c:pt>
                  <c:pt idx="192">
                    <c:v>Январь 2026</c:v>
                  </c:pt>
                  <c:pt idx="193">
                    <c:v>Январь 2026</c:v>
                  </c:pt>
                  <c:pt idx="194">
                    <c:v>Январь 2026</c:v>
                  </c:pt>
                  <c:pt idx="195">
                    <c:v>Январь 2026</c:v>
                  </c:pt>
                  <c:pt idx="196">
                    <c:v>Январь 2026</c:v>
                  </c:pt>
                  <c:pt idx="197">
                    <c:v>Январь 2026</c:v>
                  </c:pt>
                  <c:pt idx="198">
                    <c:v>Январь 2026</c:v>
                  </c:pt>
                  <c:pt idx="199">
                    <c:v>Январь 2026</c:v>
                  </c:pt>
                  <c:pt idx="200">
                    <c:v>Январь 2026</c:v>
                  </c:pt>
                  <c:pt idx="201">
                    <c:v>Январь 2026</c:v>
                  </c:pt>
                  <c:pt idx="202">
                    <c:v>Январь 2026</c:v>
                  </c:pt>
                  <c:pt idx="203">
                    <c:v>Январь 2026</c:v>
                  </c:pt>
                  <c:pt idx="204">
                    <c:v>Январь 2026</c:v>
                  </c:pt>
                  <c:pt idx="205">
                    <c:v>Январь 2026</c:v>
                  </c:pt>
                  <c:pt idx="206">
                    <c:v>Январь 2026</c:v>
                  </c:pt>
                  <c:pt idx="207">
                    <c:v>Январь 2026</c:v>
                  </c:pt>
                  <c:pt idx="208">
                    <c:v>Январь 2026</c:v>
                  </c:pt>
                  <c:pt idx="209">
                    <c:v>Январь 2026</c:v>
                  </c:pt>
                  <c:pt idx="210">
                    <c:v>Январь 2026</c:v>
                  </c:pt>
                  <c:pt idx="211">
                    <c:v>Январь 2026</c:v>
                  </c:pt>
                  <c:pt idx="212">
                    <c:v>Январь 2026</c:v>
                  </c:pt>
                  <c:pt idx="213">
                    <c:v>Январь 2026</c:v>
                  </c:pt>
                  <c:pt idx="214">
                    <c:v>Февраль 2026</c:v>
                  </c:pt>
                  <c:pt idx="215">
                    <c:v>Февраль 2026</c:v>
                  </c:pt>
                  <c:pt idx="216">
                    <c:v>Февраль 2026</c:v>
                  </c:pt>
                  <c:pt idx="217">
                    <c:v>Февраль 2026</c:v>
                  </c:pt>
                  <c:pt idx="218">
                    <c:v>Февраль 2026</c:v>
                  </c:pt>
                  <c:pt idx="219">
                    <c:v>Февраль 2026</c:v>
                  </c:pt>
                  <c:pt idx="220">
                    <c:v>Февраль 2026</c:v>
                  </c:pt>
                  <c:pt idx="221">
                    <c:v>Февраль 2026</c:v>
                  </c:pt>
                  <c:pt idx="222">
                    <c:v>Февраль 2026</c:v>
                  </c:pt>
                  <c:pt idx="223">
                    <c:v>Февраль 2026</c:v>
                  </c:pt>
                  <c:pt idx="224">
                    <c:v>Февраль 2026</c:v>
                  </c:pt>
                  <c:pt idx="225">
                    <c:v>Февраль 2026</c:v>
                  </c:pt>
                  <c:pt idx="226">
                    <c:v>Февраль 2026</c:v>
                  </c:pt>
                  <c:pt idx="227">
                    <c:v>Февраль 2026</c:v>
                  </c:pt>
                  <c:pt idx="228">
                    <c:v>Февраль 2026</c:v>
                  </c:pt>
                  <c:pt idx="229">
                    <c:v>Февраль 2026</c:v>
                  </c:pt>
                  <c:pt idx="230">
                    <c:v>Февраль 2026</c:v>
                  </c:pt>
                  <c:pt idx="231">
                    <c:v>Февраль 2026</c:v>
                  </c:pt>
                  <c:pt idx="232">
                    <c:v>Февраль 2026</c:v>
                  </c:pt>
                  <c:pt idx="233">
                    <c:v>Февраль 2026</c:v>
                  </c:pt>
                  <c:pt idx="234">
                    <c:v>Февраль 2026</c:v>
                  </c:pt>
                  <c:pt idx="235">
                    <c:v>Февраль 2026</c:v>
                  </c:pt>
                  <c:pt idx="236">
                    <c:v>Февраль 2026</c:v>
                  </c:pt>
                  <c:pt idx="237">
                    <c:v>Февраль 2026</c:v>
                  </c:pt>
                  <c:pt idx="238">
                    <c:v>Февраль 2026</c:v>
                  </c:pt>
                  <c:pt idx="239">
                    <c:v>Февраль 2026</c:v>
                  </c:pt>
                  <c:pt idx="240">
                    <c:v>Февраль 2026</c:v>
                  </c:pt>
                  <c:pt idx="241">
                    <c:v>Февраль 2026</c:v>
                  </c:pt>
                  <c:pt idx="242">
                    <c:v>Март 2026</c:v>
                  </c:pt>
                  <c:pt idx="243">
                    <c:v>Март 2026</c:v>
                  </c:pt>
                  <c:pt idx="244">
                    <c:v>Март 2026</c:v>
                  </c:pt>
                  <c:pt idx="245">
                    <c:v>Март 2026</c:v>
                  </c:pt>
                  <c:pt idx="246">
                    <c:v>Март 2026</c:v>
                  </c:pt>
                  <c:pt idx="247">
                    <c:v>Март 2026</c:v>
                  </c:pt>
                  <c:pt idx="248">
                    <c:v>Март 2026</c:v>
                  </c:pt>
                  <c:pt idx="249">
                    <c:v>Март 2026</c:v>
                  </c:pt>
                  <c:pt idx="250">
                    <c:v>Март 2026</c:v>
                  </c:pt>
                  <c:pt idx="251">
                    <c:v>Март 2026</c:v>
                  </c:pt>
                  <c:pt idx="252">
                    <c:v>Март 2026</c:v>
                  </c:pt>
                  <c:pt idx="253">
                    <c:v>Март 2026</c:v>
                  </c:pt>
                  <c:pt idx="254">
                    <c:v>Март 2026</c:v>
                  </c:pt>
                  <c:pt idx="255">
                    <c:v>Март 2026</c:v>
                  </c:pt>
                  <c:pt idx="256">
                    <c:v>Март 2026</c:v>
                  </c:pt>
                  <c:pt idx="257">
                    <c:v>Март 2026</c:v>
                  </c:pt>
                  <c:pt idx="258">
                    <c:v>Март 2026</c:v>
                  </c:pt>
                  <c:pt idx="259">
                    <c:v>Март 2026</c:v>
                  </c:pt>
                  <c:pt idx="260">
                    <c:v>Март 2026</c:v>
                  </c:pt>
                  <c:pt idx="261">
                    <c:v>Март 2026</c:v>
                  </c:pt>
                  <c:pt idx="262">
                    <c:v>Март 2026</c:v>
                  </c:pt>
                  <c:pt idx="263">
                    <c:v>Март 2026</c:v>
                  </c:pt>
                  <c:pt idx="264">
                    <c:v>Март 2026</c:v>
                  </c:pt>
                  <c:pt idx="265">
                    <c:v>Март 2026</c:v>
                  </c:pt>
                  <c:pt idx="266">
                    <c:v>Март 2026</c:v>
                  </c:pt>
                  <c:pt idx="267">
                    <c:v>Март 2026</c:v>
                  </c:pt>
                  <c:pt idx="268">
                    <c:v>Март 2026</c:v>
                  </c:pt>
                  <c:pt idx="269">
                    <c:v>Март 2026</c:v>
                  </c:pt>
                  <c:pt idx="270">
                    <c:v>Март 2026</c:v>
                  </c:pt>
                  <c:pt idx="271">
                    <c:v>Март 2026</c:v>
                  </c:pt>
                  <c:pt idx="272">
                    <c:v>Март 2026</c:v>
                  </c:pt>
                  <c:pt idx="273">
                    <c:v>Апрель 2026</c:v>
                  </c:pt>
                  <c:pt idx="274">
                    <c:v>Апрель 2026</c:v>
                  </c:pt>
                  <c:pt idx="275">
                    <c:v>Апрель 2026</c:v>
                  </c:pt>
                  <c:pt idx="276">
                    <c:v>Апрель 2026</c:v>
                  </c:pt>
                  <c:pt idx="277">
                    <c:v>Апрель 2026</c:v>
                  </c:pt>
                  <c:pt idx="278">
                    <c:v>Апрель 2026</c:v>
                  </c:pt>
                  <c:pt idx="279">
                    <c:v>Апрель 2026</c:v>
                  </c:pt>
                  <c:pt idx="280">
                    <c:v>Апрель 2026</c:v>
                  </c:pt>
                  <c:pt idx="281">
                    <c:v>Апрель 2026</c:v>
                  </c:pt>
                  <c:pt idx="282">
                    <c:v>Апрель 2026</c:v>
                  </c:pt>
                  <c:pt idx="283">
                    <c:v>Апрель 2026</c:v>
                  </c:pt>
                  <c:pt idx="284">
                    <c:v>Апрель 2026</c:v>
                  </c:pt>
                  <c:pt idx="285">
                    <c:v>Апрель 2026</c:v>
                  </c:pt>
                  <c:pt idx="286">
                    <c:v>Апрель 2026</c:v>
                  </c:pt>
                  <c:pt idx="287">
                    <c:v>Апрель 2026</c:v>
                  </c:pt>
                  <c:pt idx="288">
                    <c:v>Апрель 2026</c:v>
                  </c:pt>
                  <c:pt idx="289">
                    <c:v>Апрель 2026</c:v>
                  </c:pt>
                  <c:pt idx="290">
                    <c:v>Апрель 2026</c:v>
                  </c:pt>
                  <c:pt idx="291">
                    <c:v>Апрель 2026</c:v>
                  </c:pt>
                  <c:pt idx="292">
                    <c:v>Апрель 2026</c:v>
                  </c:pt>
                  <c:pt idx="293">
                    <c:v>Апрель 2026</c:v>
                  </c:pt>
                  <c:pt idx="294">
                    <c:v>Апрель 2026</c:v>
                  </c:pt>
                  <c:pt idx="295">
                    <c:v>Апрель 2026</c:v>
                  </c:pt>
                  <c:pt idx="296">
                    <c:v>Апрель 2026</c:v>
                  </c:pt>
                  <c:pt idx="297">
                    <c:v>Апрель 2026</c:v>
                  </c:pt>
                  <c:pt idx="298">
                    <c:v>Апрель 2026</c:v>
                  </c:pt>
                  <c:pt idx="299">
                    <c:v>Апрель 2026</c:v>
                  </c:pt>
                  <c:pt idx="300">
                    <c:v>Апрель 2026</c:v>
                  </c:pt>
                  <c:pt idx="301">
                    <c:v>Апрель 2026</c:v>
                  </c:pt>
                  <c:pt idx="302">
                    <c:v>Апрель 2026</c:v>
                  </c:pt>
                </c:lvl>
                <c:lvl>
                  <c:pt idx="0">
                    <c:v>27</c:v>
                  </c:pt>
                  <c:pt idx="1">
                    <c:v>27</c:v>
                  </c:pt>
                  <c:pt idx="2">
                    <c:v>27</c:v>
                  </c:pt>
                  <c:pt idx="3">
                    <c:v>27</c:v>
                  </c:pt>
                  <c:pt idx="4">
                    <c:v>27</c:v>
                  </c:pt>
                  <c:pt idx="5">
                    <c:v>28</c:v>
                  </c:pt>
                  <c:pt idx="6">
                    <c:v>28</c:v>
                  </c:pt>
                  <c:pt idx="7">
                    <c:v>28</c:v>
                  </c:pt>
                  <c:pt idx="8">
                    <c:v>28</c:v>
                  </c:pt>
                  <c:pt idx="9">
                    <c:v>28</c:v>
                  </c:pt>
                  <c:pt idx="10">
                    <c:v>28</c:v>
                  </c:pt>
                  <c:pt idx="11">
                    <c:v>28</c:v>
                  </c:pt>
                  <c:pt idx="12">
                    <c:v>29</c:v>
                  </c:pt>
                  <c:pt idx="13">
                    <c:v>29</c:v>
                  </c:pt>
                  <c:pt idx="14">
                    <c:v>29</c:v>
                  </c:pt>
                  <c:pt idx="15">
                    <c:v>29</c:v>
                  </c:pt>
                  <c:pt idx="16">
                    <c:v>29</c:v>
                  </c:pt>
                  <c:pt idx="17">
                    <c:v>29</c:v>
                  </c:pt>
                  <c:pt idx="18">
                    <c:v>29</c:v>
                  </c:pt>
                  <c:pt idx="19">
                    <c:v>30</c:v>
                  </c:pt>
                  <c:pt idx="20">
                    <c:v>30</c:v>
                  </c:pt>
                  <c:pt idx="21">
                    <c:v>30</c:v>
                  </c:pt>
                  <c:pt idx="22">
                    <c:v>30</c:v>
                  </c:pt>
                  <c:pt idx="23">
                    <c:v>30</c:v>
                  </c:pt>
                  <c:pt idx="24">
                    <c:v>30</c:v>
                  </c:pt>
                  <c:pt idx="25">
                    <c:v>30</c:v>
                  </c:pt>
                  <c:pt idx="26">
                    <c:v>31</c:v>
                  </c:pt>
                  <c:pt idx="27">
                    <c:v>31</c:v>
                  </c:pt>
                  <c:pt idx="28">
                    <c:v>31</c:v>
                  </c:pt>
                  <c:pt idx="29">
                    <c:v>31</c:v>
                  </c:pt>
                  <c:pt idx="30">
                    <c:v>31</c:v>
                  </c:pt>
                  <c:pt idx="31">
                    <c:v>31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32</c:v>
                  </c:pt>
                  <c:pt idx="35">
                    <c:v>32</c:v>
                  </c:pt>
                  <c:pt idx="36">
                    <c:v>32</c:v>
                  </c:pt>
                  <c:pt idx="37">
                    <c:v>32</c:v>
                  </c:pt>
                  <c:pt idx="38">
                    <c:v>32</c:v>
                  </c:pt>
                  <c:pt idx="39">
                    <c:v>32</c:v>
                  </c:pt>
                  <c:pt idx="40">
                    <c:v>33</c:v>
                  </c:pt>
                  <c:pt idx="41">
                    <c:v>33</c:v>
                  </c:pt>
                  <c:pt idx="42">
                    <c:v>33</c:v>
                  </c:pt>
                  <c:pt idx="43">
                    <c:v>33</c:v>
                  </c:pt>
                  <c:pt idx="44">
                    <c:v>33</c:v>
                  </c:pt>
                  <c:pt idx="45">
                    <c:v>33</c:v>
                  </c:pt>
                  <c:pt idx="46">
                    <c:v>33</c:v>
                  </c:pt>
                  <c:pt idx="47">
                    <c:v>34</c:v>
                  </c:pt>
                  <c:pt idx="48">
                    <c:v>34</c:v>
                  </c:pt>
                  <c:pt idx="49">
                    <c:v>34</c:v>
                  </c:pt>
                  <c:pt idx="50">
                    <c:v>34</c:v>
                  </c:pt>
                  <c:pt idx="51">
                    <c:v>34</c:v>
                  </c:pt>
                  <c:pt idx="52">
                    <c:v>34</c:v>
                  </c:pt>
                  <c:pt idx="53">
                    <c:v>34</c:v>
                  </c:pt>
                  <c:pt idx="54">
                    <c:v>35</c:v>
                  </c:pt>
                  <c:pt idx="55">
                    <c:v>35</c:v>
                  </c:pt>
                  <c:pt idx="56">
                    <c:v>35</c:v>
                  </c:pt>
                  <c:pt idx="57">
                    <c:v>35</c:v>
                  </c:pt>
                  <c:pt idx="58">
                    <c:v>35</c:v>
                  </c:pt>
                  <c:pt idx="59">
                    <c:v>35</c:v>
                  </c:pt>
                  <c:pt idx="60">
                    <c:v>35</c:v>
                  </c:pt>
                  <c:pt idx="61">
                    <c:v>36</c:v>
                  </c:pt>
                  <c:pt idx="62">
                    <c:v>36</c:v>
                  </c:pt>
                  <c:pt idx="63">
                    <c:v>36</c:v>
                  </c:pt>
                  <c:pt idx="64">
                    <c:v>36</c:v>
                  </c:pt>
                  <c:pt idx="65">
                    <c:v>36</c:v>
                  </c:pt>
                  <c:pt idx="66">
                    <c:v>36</c:v>
                  </c:pt>
                  <c:pt idx="67">
                    <c:v>36</c:v>
                  </c:pt>
                  <c:pt idx="68">
                    <c:v>37</c:v>
                  </c:pt>
                  <c:pt idx="69">
                    <c:v>37</c:v>
                  </c:pt>
                  <c:pt idx="70">
                    <c:v>37</c:v>
                  </c:pt>
                  <c:pt idx="71">
                    <c:v>37</c:v>
                  </c:pt>
                  <c:pt idx="72">
                    <c:v>37</c:v>
                  </c:pt>
                  <c:pt idx="73">
                    <c:v>37</c:v>
                  </c:pt>
                  <c:pt idx="74">
                    <c:v>37</c:v>
                  </c:pt>
                  <c:pt idx="75">
                    <c:v>38</c:v>
                  </c:pt>
                  <c:pt idx="76">
                    <c:v>38</c:v>
                  </c:pt>
                  <c:pt idx="77">
                    <c:v>38</c:v>
                  </c:pt>
                  <c:pt idx="78">
                    <c:v>38</c:v>
                  </c:pt>
                  <c:pt idx="79">
                    <c:v>38</c:v>
                  </c:pt>
                  <c:pt idx="80">
                    <c:v>38</c:v>
                  </c:pt>
                  <c:pt idx="81">
                    <c:v>38</c:v>
                  </c:pt>
                  <c:pt idx="82">
                    <c:v>39</c:v>
                  </c:pt>
                  <c:pt idx="83">
                    <c:v>39</c:v>
                  </c:pt>
                  <c:pt idx="84">
                    <c:v>39</c:v>
                  </c:pt>
                  <c:pt idx="85">
                    <c:v>39</c:v>
                  </c:pt>
                  <c:pt idx="86">
                    <c:v>39</c:v>
                  </c:pt>
                  <c:pt idx="87">
                    <c:v>39</c:v>
                  </c:pt>
                  <c:pt idx="88">
                    <c:v>39</c:v>
                  </c:pt>
                  <c:pt idx="89">
                    <c:v>40</c:v>
                  </c:pt>
                  <c:pt idx="90">
                    <c:v>40</c:v>
                  </c:pt>
                  <c:pt idx="91">
                    <c:v>40</c:v>
                  </c:pt>
                  <c:pt idx="92">
                    <c:v>40</c:v>
                  </c:pt>
                  <c:pt idx="93">
                    <c:v>40</c:v>
                  </c:pt>
                  <c:pt idx="94">
                    <c:v>40</c:v>
                  </c:pt>
                  <c:pt idx="95">
                    <c:v>40</c:v>
                  </c:pt>
                  <c:pt idx="96">
                    <c:v>41</c:v>
                  </c:pt>
                  <c:pt idx="97">
                    <c:v>41</c:v>
                  </c:pt>
                  <c:pt idx="98">
                    <c:v>41</c:v>
                  </c:pt>
                  <c:pt idx="99">
                    <c:v>41</c:v>
                  </c:pt>
                  <c:pt idx="100">
                    <c:v>41</c:v>
                  </c:pt>
                  <c:pt idx="101">
                    <c:v>41</c:v>
                  </c:pt>
                  <c:pt idx="102">
                    <c:v>41</c:v>
                  </c:pt>
                  <c:pt idx="103">
                    <c:v>42</c:v>
                  </c:pt>
                  <c:pt idx="104">
                    <c:v>42</c:v>
                  </c:pt>
                  <c:pt idx="105">
                    <c:v>42</c:v>
                  </c:pt>
                  <c:pt idx="106">
                    <c:v>42</c:v>
                  </c:pt>
                  <c:pt idx="107">
                    <c:v>42</c:v>
                  </c:pt>
                  <c:pt idx="108">
                    <c:v>42</c:v>
                  </c:pt>
                  <c:pt idx="109">
                    <c:v>42</c:v>
                  </c:pt>
                  <c:pt idx="110">
                    <c:v>43</c:v>
                  </c:pt>
                  <c:pt idx="111">
                    <c:v>43</c:v>
                  </c:pt>
                  <c:pt idx="112">
                    <c:v>43</c:v>
                  </c:pt>
                  <c:pt idx="113">
                    <c:v>43</c:v>
                  </c:pt>
                  <c:pt idx="114">
                    <c:v>43</c:v>
                  </c:pt>
                  <c:pt idx="115">
                    <c:v>43</c:v>
                  </c:pt>
                  <c:pt idx="116">
                    <c:v>43</c:v>
                  </c:pt>
                  <c:pt idx="117">
                    <c:v>44</c:v>
                  </c:pt>
                  <c:pt idx="118">
                    <c:v>44</c:v>
                  </c:pt>
                  <c:pt idx="119">
                    <c:v>44</c:v>
                  </c:pt>
                  <c:pt idx="120">
                    <c:v>44</c:v>
                  </c:pt>
                  <c:pt idx="121">
                    <c:v>44</c:v>
                  </c:pt>
                  <c:pt idx="122">
                    <c:v>44</c:v>
                  </c:pt>
                  <c:pt idx="123">
                    <c:v>44</c:v>
                  </c:pt>
                  <c:pt idx="124">
                    <c:v>45</c:v>
                  </c:pt>
                  <c:pt idx="125">
                    <c:v>45</c:v>
                  </c:pt>
                  <c:pt idx="126">
                    <c:v>45</c:v>
                  </c:pt>
                  <c:pt idx="127">
                    <c:v>45</c:v>
                  </c:pt>
                  <c:pt idx="128">
                    <c:v>45</c:v>
                  </c:pt>
                  <c:pt idx="129">
                    <c:v>45</c:v>
                  </c:pt>
                  <c:pt idx="130">
                    <c:v>45</c:v>
                  </c:pt>
                  <c:pt idx="131">
                    <c:v>46</c:v>
                  </c:pt>
                  <c:pt idx="132">
                    <c:v>46</c:v>
                  </c:pt>
                  <c:pt idx="133">
                    <c:v>46</c:v>
                  </c:pt>
                  <c:pt idx="134">
                    <c:v>46</c:v>
                  </c:pt>
                  <c:pt idx="135">
                    <c:v>46</c:v>
                  </c:pt>
                  <c:pt idx="136">
                    <c:v>46</c:v>
                  </c:pt>
                  <c:pt idx="137">
                    <c:v>46</c:v>
                  </c:pt>
                  <c:pt idx="138">
                    <c:v>47</c:v>
                  </c:pt>
                  <c:pt idx="139">
                    <c:v>47</c:v>
                  </c:pt>
                  <c:pt idx="140">
                    <c:v>47</c:v>
                  </c:pt>
                  <c:pt idx="141">
                    <c:v>47</c:v>
                  </c:pt>
                  <c:pt idx="142">
                    <c:v>47</c:v>
                  </c:pt>
                  <c:pt idx="143">
                    <c:v>47</c:v>
                  </c:pt>
                  <c:pt idx="144">
                    <c:v>47</c:v>
                  </c:pt>
                  <c:pt idx="145">
                    <c:v>48</c:v>
                  </c:pt>
                  <c:pt idx="146">
                    <c:v>48</c:v>
                  </c:pt>
                  <c:pt idx="147">
                    <c:v>48</c:v>
                  </c:pt>
                  <c:pt idx="148">
                    <c:v>48</c:v>
                  </c:pt>
                  <c:pt idx="149">
                    <c:v>48</c:v>
                  </c:pt>
                  <c:pt idx="150">
                    <c:v>48</c:v>
                  </c:pt>
                  <c:pt idx="151">
                    <c:v>48</c:v>
                  </c:pt>
                  <c:pt idx="152">
                    <c:v>49</c:v>
                  </c:pt>
                  <c:pt idx="153">
                    <c:v>49</c:v>
                  </c:pt>
                  <c:pt idx="154">
                    <c:v>49</c:v>
                  </c:pt>
                  <c:pt idx="155">
                    <c:v>49</c:v>
                  </c:pt>
                  <c:pt idx="156">
                    <c:v>49</c:v>
                  </c:pt>
                  <c:pt idx="157">
                    <c:v>49</c:v>
                  </c:pt>
                  <c:pt idx="158">
                    <c:v>49</c:v>
                  </c:pt>
                  <c:pt idx="159">
                    <c:v>50</c:v>
                  </c:pt>
                  <c:pt idx="160">
                    <c:v>50</c:v>
                  </c:pt>
                  <c:pt idx="161">
                    <c:v>50</c:v>
                  </c:pt>
                  <c:pt idx="162">
                    <c:v>50</c:v>
                  </c:pt>
                  <c:pt idx="163">
                    <c:v>50</c:v>
                  </c:pt>
                  <c:pt idx="164">
                    <c:v>50</c:v>
                  </c:pt>
                  <c:pt idx="165">
                    <c:v>50</c:v>
                  </c:pt>
                  <c:pt idx="166">
                    <c:v>51</c:v>
                  </c:pt>
                  <c:pt idx="167">
                    <c:v>51</c:v>
                  </c:pt>
                  <c:pt idx="168">
                    <c:v>51</c:v>
                  </c:pt>
                  <c:pt idx="169">
                    <c:v>51</c:v>
                  </c:pt>
                  <c:pt idx="170">
                    <c:v>51</c:v>
                  </c:pt>
                  <c:pt idx="171">
                    <c:v>51</c:v>
                  </c:pt>
                  <c:pt idx="172">
                    <c:v>51</c:v>
                  </c:pt>
                  <c:pt idx="173">
                    <c:v>52</c:v>
                  </c:pt>
                  <c:pt idx="174">
                    <c:v>52</c:v>
                  </c:pt>
                  <c:pt idx="175">
                    <c:v>52</c:v>
                  </c:pt>
                  <c:pt idx="176">
                    <c:v>52</c:v>
                  </c:pt>
                  <c:pt idx="177">
                    <c:v>52</c:v>
                  </c:pt>
                  <c:pt idx="178">
                    <c:v>52</c:v>
                  </c:pt>
                  <c:pt idx="179">
                    <c:v>52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3</c:v>
                  </c:pt>
                  <c:pt idx="196">
                    <c:v>3</c:v>
                  </c:pt>
                  <c:pt idx="197">
                    <c:v>3</c:v>
                  </c:pt>
                  <c:pt idx="198">
                    <c:v>3</c:v>
                  </c:pt>
                  <c:pt idx="199">
                    <c:v>3</c:v>
                  </c:pt>
                  <c:pt idx="200">
                    <c:v>3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4</c:v>
                  </c:pt>
                  <c:pt idx="205">
                    <c:v>4</c:v>
                  </c:pt>
                  <c:pt idx="206">
                    <c:v>4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5</c:v>
                  </c:pt>
                  <c:pt idx="210">
                    <c:v>5</c:v>
                  </c:pt>
                  <c:pt idx="211">
                    <c:v>5</c:v>
                  </c:pt>
                  <c:pt idx="212">
                    <c:v>5</c:v>
                  </c:pt>
                  <c:pt idx="213">
                    <c:v>5</c:v>
                  </c:pt>
                  <c:pt idx="214">
                    <c:v>5</c:v>
                  </c:pt>
                  <c:pt idx="215">
                    <c:v>6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7</c:v>
                  </c:pt>
                  <c:pt idx="224">
                    <c:v>7</c:v>
                  </c:pt>
                  <c:pt idx="225">
                    <c:v>7</c:v>
                  </c:pt>
                  <c:pt idx="226">
                    <c:v>7</c:v>
                  </c:pt>
                  <c:pt idx="227">
                    <c:v>7</c:v>
                  </c:pt>
                  <c:pt idx="228">
                    <c:v>7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8</c:v>
                  </c:pt>
                  <c:pt idx="233">
                    <c:v>8</c:v>
                  </c:pt>
                  <c:pt idx="234">
                    <c:v>8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9</c:v>
                  </c:pt>
                  <c:pt idx="238">
                    <c:v>9</c:v>
                  </c:pt>
                  <c:pt idx="239">
                    <c:v>9</c:v>
                  </c:pt>
                  <c:pt idx="240">
                    <c:v>9</c:v>
                  </c:pt>
                  <c:pt idx="241">
                    <c:v>9</c:v>
                  </c:pt>
                  <c:pt idx="242">
                    <c:v>9</c:v>
                  </c:pt>
                  <c:pt idx="243">
                    <c:v>10</c:v>
                  </c:pt>
                  <c:pt idx="244">
                    <c:v>10</c:v>
                  </c:pt>
                  <c:pt idx="245">
                    <c:v>10</c:v>
                  </c:pt>
                  <c:pt idx="246">
                    <c:v>10</c:v>
                  </c:pt>
                  <c:pt idx="247">
                    <c:v>10</c:v>
                  </c:pt>
                  <c:pt idx="248">
                    <c:v>10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11</c:v>
                  </c:pt>
                  <c:pt idx="252">
                    <c:v>11</c:v>
                  </c:pt>
                  <c:pt idx="253">
                    <c:v>11</c:v>
                  </c:pt>
                  <c:pt idx="254">
                    <c:v>11</c:v>
                  </c:pt>
                  <c:pt idx="255">
                    <c:v>11</c:v>
                  </c:pt>
                  <c:pt idx="256">
                    <c:v>11</c:v>
                  </c:pt>
                  <c:pt idx="257">
                    <c:v>12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12</c:v>
                  </c:pt>
                  <c:pt idx="261">
                    <c:v>12</c:v>
                  </c:pt>
                  <c:pt idx="262">
                    <c:v>12</c:v>
                  </c:pt>
                  <c:pt idx="263">
                    <c:v>12</c:v>
                  </c:pt>
                  <c:pt idx="264">
                    <c:v>13</c:v>
                  </c:pt>
                  <c:pt idx="265">
                    <c:v>13</c:v>
                  </c:pt>
                  <c:pt idx="266">
                    <c:v>13</c:v>
                  </c:pt>
                  <c:pt idx="267">
                    <c:v>13</c:v>
                  </c:pt>
                  <c:pt idx="268">
                    <c:v>13</c:v>
                  </c:pt>
                  <c:pt idx="269">
                    <c:v>13</c:v>
                  </c:pt>
                  <c:pt idx="270">
                    <c:v>13</c:v>
                  </c:pt>
                  <c:pt idx="271">
                    <c:v>14</c:v>
                  </c:pt>
                  <c:pt idx="272">
                    <c:v>14</c:v>
                  </c:pt>
                  <c:pt idx="273">
                    <c:v>14</c:v>
                  </c:pt>
                  <c:pt idx="274">
                    <c:v>14</c:v>
                  </c:pt>
                  <c:pt idx="275">
                    <c:v>14</c:v>
                  </c:pt>
                  <c:pt idx="276">
                    <c:v>14</c:v>
                  </c:pt>
                  <c:pt idx="277">
                    <c:v>14</c:v>
                  </c:pt>
                  <c:pt idx="278">
                    <c:v>15</c:v>
                  </c:pt>
                  <c:pt idx="279">
                    <c:v>15</c:v>
                  </c:pt>
                  <c:pt idx="280">
                    <c:v>15</c:v>
                  </c:pt>
                  <c:pt idx="281">
                    <c:v>15</c:v>
                  </c:pt>
                  <c:pt idx="282">
                    <c:v>15</c:v>
                  </c:pt>
                  <c:pt idx="283">
                    <c:v>15</c:v>
                  </c:pt>
                  <c:pt idx="284">
                    <c:v>15</c:v>
                  </c:pt>
                  <c:pt idx="285">
                    <c:v>16</c:v>
                  </c:pt>
                  <c:pt idx="286">
                    <c:v>16</c:v>
                  </c:pt>
                  <c:pt idx="287">
                    <c:v>16</c:v>
                  </c:pt>
                  <c:pt idx="288">
                    <c:v>16</c:v>
                  </c:pt>
                  <c:pt idx="289">
                    <c:v>16</c:v>
                  </c:pt>
                  <c:pt idx="290">
                    <c:v>16</c:v>
                  </c:pt>
                  <c:pt idx="291">
                    <c:v>16</c:v>
                  </c:pt>
                  <c:pt idx="292">
                    <c:v>17</c:v>
                  </c:pt>
                  <c:pt idx="293">
                    <c:v>17</c:v>
                  </c:pt>
                  <c:pt idx="294">
                    <c:v>17</c:v>
                  </c:pt>
                  <c:pt idx="295">
                    <c:v>17</c:v>
                  </c:pt>
                  <c:pt idx="296">
                    <c:v>17</c:v>
                  </c:pt>
                  <c:pt idx="297">
                    <c:v>17</c:v>
                  </c:pt>
                  <c:pt idx="298">
                    <c:v>17</c:v>
                  </c:pt>
                  <c:pt idx="299">
                    <c:v>18</c:v>
                  </c:pt>
                  <c:pt idx="300">
                    <c:v>18</c:v>
                  </c:pt>
                  <c:pt idx="301">
                    <c:v>18</c:v>
                  </c:pt>
                  <c:pt idx="302">
                    <c:v>18</c:v>
                  </c:pt>
                </c:lvl>
                <c:lvl>
                  <c:pt idx="0">
                    <c:v>7</c:v>
                  </c:pt>
                  <c:pt idx="1">
                    <c:v>7</c:v>
                  </c:pt>
                  <c:pt idx="2">
                    <c:v>7</c:v>
                  </c:pt>
                  <c:pt idx="3">
                    <c:v>7</c:v>
                  </c:pt>
                  <c:pt idx="4">
                    <c:v>7</c:v>
                  </c:pt>
                  <c:pt idx="5">
                    <c:v>7</c:v>
                  </c:pt>
                  <c:pt idx="6">
                    <c:v>7</c:v>
                  </c:pt>
                  <c:pt idx="7">
                    <c:v>7</c:v>
                  </c:pt>
                  <c:pt idx="8">
                    <c:v>7</c:v>
                  </c:pt>
                  <c:pt idx="9">
                    <c:v>7</c:v>
                  </c:pt>
                  <c:pt idx="10">
                    <c:v>7</c:v>
                  </c:pt>
                  <c:pt idx="11">
                    <c:v>7</c:v>
                  </c:pt>
                  <c:pt idx="12">
                    <c:v>7</c:v>
                  </c:pt>
                  <c:pt idx="13">
                    <c:v>7</c:v>
                  </c:pt>
                  <c:pt idx="14">
                    <c:v>7</c:v>
                  </c:pt>
                  <c:pt idx="15">
                    <c:v>7</c:v>
                  </c:pt>
                  <c:pt idx="16">
                    <c:v>7</c:v>
                  </c:pt>
                  <c:pt idx="17">
                    <c:v>7</c:v>
                  </c:pt>
                  <c:pt idx="18">
                    <c:v>7</c:v>
                  </c:pt>
                  <c:pt idx="19">
                    <c:v>7</c:v>
                  </c:pt>
                  <c:pt idx="20">
                    <c:v>7</c:v>
                  </c:pt>
                  <c:pt idx="21">
                    <c:v>7</c:v>
                  </c:pt>
                  <c:pt idx="22">
                    <c:v>7</c:v>
                  </c:pt>
                  <c:pt idx="23">
                    <c:v>7</c:v>
                  </c:pt>
                  <c:pt idx="24">
                    <c:v>7</c:v>
                  </c:pt>
                  <c:pt idx="25">
                    <c:v>7</c:v>
                  </c:pt>
                  <c:pt idx="26">
                    <c:v>7</c:v>
                  </c:pt>
                  <c:pt idx="27">
                    <c:v>7</c:v>
                  </c:pt>
                  <c:pt idx="28">
                    <c:v>7</c:v>
                  </c:pt>
                  <c:pt idx="29">
                    <c:v>7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9</c:v>
                  </c:pt>
                  <c:pt idx="62">
                    <c:v>9</c:v>
                  </c:pt>
                  <c:pt idx="63">
                    <c:v>9</c:v>
                  </c:pt>
                  <c:pt idx="64">
                    <c:v>9</c:v>
                  </c:pt>
                  <c:pt idx="65">
                    <c:v>9</c:v>
                  </c:pt>
                  <c:pt idx="66">
                    <c:v>9</c:v>
                  </c:pt>
                  <c:pt idx="67">
                    <c:v>9</c:v>
                  </c:pt>
                  <c:pt idx="68">
                    <c:v>9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  <c:pt idx="79">
                    <c:v>9</c:v>
                  </c:pt>
                  <c:pt idx="80">
                    <c:v>9</c:v>
                  </c:pt>
                  <c:pt idx="81">
                    <c:v>9</c:v>
                  </c:pt>
                  <c:pt idx="82">
                    <c:v>9</c:v>
                  </c:pt>
                  <c:pt idx="83">
                    <c:v>9</c:v>
                  </c:pt>
                  <c:pt idx="84">
                    <c:v>9</c:v>
                  </c:pt>
                  <c:pt idx="85">
                    <c:v>9</c:v>
                  </c:pt>
                  <c:pt idx="86">
                    <c:v>9</c:v>
                  </c:pt>
                  <c:pt idx="87">
                    <c:v>9</c:v>
                  </c:pt>
                  <c:pt idx="88">
                    <c:v>9</c:v>
                  </c:pt>
                  <c:pt idx="89">
                    <c:v>9</c:v>
                  </c:pt>
                  <c:pt idx="90">
                    <c:v>9</c:v>
                  </c:pt>
                  <c:pt idx="91">
                    <c:v>10</c:v>
                  </c:pt>
                  <c:pt idx="92">
                    <c:v>10</c:v>
                  </c:pt>
                  <c:pt idx="93">
                    <c:v>10</c:v>
                  </c:pt>
                  <c:pt idx="94">
                    <c:v>10</c:v>
                  </c:pt>
                  <c:pt idx="95">
                    <c:v>10</c:v>
                  </c:pt>
                  <c:pt idx="96">
                    <c:v>10</c:v>
                  </c:pt>
                  <c:pt idx="97">
                    <c:v>10</c:v>
                  </c:pt>
                  <c:pt idx="98">
                    <c:v>10</c:v>
                  </c:pt>
                  <c:pt idx="99">
                    <c:v>10</c:v>
                  </c:pt>
                  <c:pt idx="100">
                    <c:v>10</c:v>
                  </c:pt>
                  <c:pt idx="101">
                    <c:v>10</c:v>
                  </c:pt>
                  <c:pt idx="102">
                    <c:v>10</c:v>
                  </c:pt>
                  <c:pt idx="103">
                    <c:v>10</c:v>
                  </c:pt>
                  <c:pt idx="104">
                    <c:v>10</c:v>
                  </c:pt>
                  <c:pt idx="105">
                    <c:v>10</c:v>
                  </c:pt>
                  <c:pt idx="106">
                    <c:v>10</c:v>
                  </c:pt>
                  <c:pt idx="107">
                    <c:v>10</c:v>
                  </c:pt>
                  <c:pt idx="108">
                    <c:v>10</c:v>
                  </c:pt>
                  <c:pt idx="109">
                    <c:v>10</c:v>
                  </c:pt>
                  <c:pt idx="110">
                    <c:v>10</c:v>
                  </c:pt>
                  <c:pt idx="111">
                    <c:v>10</c:v>
                  </c:pt>
                  <c:pt idx="112">
                    <c:v>10</c:v>
                  </c:pt>
                  <c:pt idx="113">
                    <c:v>10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10</c:v>
                  </c:pt>
                  <c:pt idx="117">
                    <c:v>10</c:v>
                  </c:pt>
                  <c:pt idx="118">
                    <c:v>10</c:v>
                  </c:pt>
                  <c:pt idx="119">
                    <c:v>10</c:v>
                  </c:pt>
                  <c:pt idx="120">
                    <c:v>10</c:v>
                  </c:pt>
                  <c:pt idx="121">
                    <c:v>10</c:v>
                  </c:pt>
                  <c:pt idx="122">
                    <c:v>11</c:v>
                  </c:pt>
                  <c:pt idx="123">
                    <c:v>11</c:v>
                  </c:pt>
                  <c:pt idx="124">
                    <c:v>11</c:v>
                  </c:pt>
                  <c:pt idx="125">
                    <c:v>11</c:v>
                  </c:pt>
                  <c:pt idx="126">
                    <c:v>11</c:v>
                  </c:pt>
                  <c:pt idx="127">
                    <c:v>11</c:v>
                  </c:pt>
                  <c:pt idx="128">
                    <c:v>11</c:v>
                  </c:pt>
                  <c:pt idx="129">
                    <c:v>11</c:v>
                  </c:pt>
                  <c:pt idx="130">
                    <c:v>11</c:v>
                  </c:pt>
                  <c:pt idx="131">
                    <c:v>11</c:v>
                  </c:pt>
                  <c:pt idx="132">
                    <c:v>11</c:v>
                  </c:pt>
                  <c:pt idx="133">
                    <c:v>11</c:v>
                  </c:pt>
                  <c:pt idx="134">
                    <c:v>11</c:v>
                  </c:pt>
                  <c:pt idx="135">
                    <c:v>11</c:v>
                  </c:pt>
                  <c:pt idx="136">
                    <c:v>11</c:v>
                  </c:pt>
                  <c:pt idx="137">
                    <c:v>11</c:v>
                  </c:pt>
                  <c:pt idx="138">
                    <c:v>11</c:v>
                  </c:pt>
                  <c:pt idx="139">
                    <c:v>11</c:v>
                  </c:pt>
                  <c:pt idx="140">
                    <c:v>11</c:v>
                  </c:pt>
                  <c:pt idx="141">
                    <c:v>11</c:v>
                  </c:pt>
                  <c:pt idx="142">
                    <c:v>11</c:v>
                  </c:pt>
                  <c:pt idx="143">
                    <c:v>11</c:v>
                  </c:pt>
                  <c:pt idx="144">
                    <c:v>11</c:v>
                  </c:pt>
                  <c:pt idx="145">
                    <c:v>11</c:v>
                  </c:pt>
                  <c:pt idx="146">
                    <c:v>11</c:v>
                  </c:pt>
                  <c:pt idx="147">
                    <c:v>11</c:v>
                  </c:pt>
                  <c:pt idx="148">
                    <c:v>11</c:v>
                  </c:pt>
                  <c:pt idx="149">
                    <c:v>11</c:v>
                  </c:pt>
                  <c:pt idx="150">
                    <c:v>11</c:v>
                  </c:pt>
                  <c:pt idx="151">
                    <c:v>11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1</c:v>
                  </c:pt>
                  <c:pt idx="193">
                    <c:v>1</c:v>
                  </c:pt>
                  <c:pt idx="194">
                    <c:v>1</c:v>
                  </c:pt>
                  <c:pt idx="195">
                    <c:v>1</c:v>
                  </c:pt>
                  <c:pt idx="196">
                    <c:v>1</c:v>
                  </c:pt>
                  <c:pt idx="197">
                    <c:v>1</c:v>
                  </c:pt>
                  <c:pt idx="198">
                    <c:v>1</c:v>
                  </c:pt>
                  <c:pt idx="199">
                    <c:v>1</c:v>
                  </c:pt>
                  <c:pt idx="200">
                    <c:v>1</c:v>
                  </c:pt>
                  <c:pt idx="201">
                    <c:v>1</c:v>
                  </c:pt>
                  <c:pt idx="202">
                    <c:v>1</c:v>
                  </c:pt>
                  <c:pt idx="203">
                    <c:v>1</c:v>
                  </c:pt>
                  <c:pt idx="204">
                    <c:v>1</c:v>
                  </c:pt>
                  <c:pt idx="205">
                    <c:v>1</c:v>
                  </c:pt>
                  <c:pt idx="206">
                    <c:v>1</c:v>
                  </c:pt>
                  <c:pt idx="207">
                    <c:v>1</c:v>
                  </c:pt>
                  <c:pt idx="208">
                    <c:v>1</c:v>
                  </c:pt>
                  <c:pt idx="209">
                    <c:v>1</c:v>
                  </c:pt>
                  <c:pt idx="210">
                    <c:v>1</c:v>
                  </c:pt>
                  <c:pt idx="211">
                    <c:v>1</c:v>
                  </c:pt>
                  <c:pt idx="212">
                    <c:v>1</c:v>
                  </c:pt>
                  <c:pt idx="213">
                    <c:v>1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  <c:pt idx="252">
                    <c:v>3</c:v>
                  </c:pt>
                  <c:pt idx="253">
                    <c:v>3</c:v>
                  </c:pt>
                  <c:pt idx="254">
                    <c:v>3</c:v>
                  </c:pt>
                  <c:pt idx="255">
                    <c:v>3</c:v>
                  </c:pt>
                  <c:pt idx="256">
                    <c:v>3</c:v>
                  </c:pt>
                  <c:pt idx="257">
                    <c:v>3</c:v>
                  </c:pt>
                  <c:pt idx="258">
                    <c:v>3</c:v>
                  </c:pt>
                  <c:pt idx="259">
                    <c:v>3</c:v>
                  </c:pt>
                  <c:pt idx="260">
                    <c:v>3</c:v>
                  </c:pt>
                  <c:pt idx="261">
                    <c:v>3</c:v>
                  </c:pt>
                  <c:pt idx="262">
                    <c:v>3</c:v>
                  </c:pt>
                  <c:pt idx="263">
                    <c:v>3</c:v>
                  </c:pt>
                  <c:pt idx="264">
                    <c:v>3</c:v>
                  </c:pt>
                  <c:pt idx="265">
                    <c:v>3</c:v>
                  </c:pt>
                  <c:pt idx="266">
                    <c:v>3</c:v>
                  </c:pt>
                  <c:pt idx="267">
                    <c:v>3</c:v>
                  </c:pt>
                  <c:pt idx="268">
                    <c:v>3</c:v>
                  </c:pt>
                  <c:pt idx="269">
                    <c:v>3</c:v>
                  </c:pt>
                  <c:pt idx="270">
                    <c:v>3</c:v>
                  </c:pt>
                  <c:pt idx="271">
                    <c:v>3</c:v>
                  </c:pt>
                  <c:pt idx="272">
                    <c:v>3</c:v>
                  </c:pt>
                  <c:pt idx="273">
                    <c:v>4</c:v>
                  </c:pt>
                  <c:pt idx="274">
                    <c:v>4</c:v>
                  </c:pt>
                  <c:pt idx="275">
                    <c:v>4</c:v>
                  </c:pt>
                  <c:pt idx="276">
                    <c:v>4</c:v>
                  </c:pt>
                  <c:pt idx="277">
                    <c:v>4</c:v>
                  </c:pt>
                  <c:pt idx="278">
                    <c:v>4</c:v>
                  </c:pt>
                  <c:pt idx="279">
                    <c:v>4</c:v>
                  </c:pt>
                  <c:pt idx="280">
                    <c:v>4</c:v>
                  </c:pt>
                  <c:pt idx="281">
                    <c:v>4</c:v>
                  </c:pt>
                  <c:pt idx="282">
                    <c:v>4</c:v>
                  </c:pt>
                  <c:pt idx="283">
                    <c:v>4</c:v>
                  </c:pt>
                  <c:pt idx="284">
                    <c:v>4</c:v>
                  </c:pt>
                  <c:pt idx="285">
                    <c:v>4</c:v>
                  </c:pt>
                  <c:pt idx="286">
                    <c:v>4</c:v>
                  </c:pt>
                  <c:pt idx="287">
                    <c:v>4</c:v>
                  </c:pt>
                  <c:pt idx="288">
                    <c:v>4</c:v>
                  </c:pt>
                  <c:pt idx="289">
                    <c:v>4</c:v>
                  </c:pt>
                  <c:pt idx="290">
                    <c:v>4</c:v>
                  </c:pt>
                  <c:pt idx="291">
                    <c:v>4</c:v>
                  </c:pt>
                  <c:pt idx="292">
                    <c:v>4</c:v>
                  </c:pt>
                  <c:pt idx="293">
                    <c:v>4</c:v>
                  </c:pt>
                  <c:pt idx="294">
                    <c:v>4</c:v>
                  </c:pt>
                  <c:pt idx="295">
                    <c:v>4</c:v>
                  </c:pt>
                  <c:pt idx="296">
                    <c:v>4</c:v>
                  </c:pt>
                  <c:pt idx="297">
                    <c:v>4</c:v>
                  </c:pt>
                  <c:pt idx="298">
                    <c:v>4</c:v>
                  </c:pt>
                  <c:pt idx="299">
                    <c:v>4</c:v>
                  </c:pt>
                  <c:pt idx="300">
                    <c:v>4</c:v>
                  </c:pt>
                  <c:pt idx="301">
                    <c:v>4</c:v>
                  </c:pt>
                  <c:pt idx="302">
                    <c:v>4</c:v>
                  </c:pt>
                </c:lvl>
              </c:multiLvlStrCache>
            </c:multiLvlStrRef>
          </c:cat>
          <c:val>
            <c:numRef>
              <c:f>report!$E$2:$E$304</c:f>
              <c:numCache>
                <c:formatCode>General</c:formatCode>
                <c:ptCount val="303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76</c:v>
                </c:pt>
                <c:pt idx="6">
                  <c:v>76</c:v>
                </c:pt>
                <c:pt idx="7">
                  <c:v>76</c:v>
                </c:pt>
                <c:pt idx="8">
                  <c:v>76</c:v>
                </c:pt>
                <c:pt idx="9">
                  <c:v>76</c:v>
                </c:pt>
                <c:pt idx="10">
                  <c:v>76</c:v>
                </c:pt>
                <c:pt idx="11">
                  <c:v>76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157</c:v>
                </c:pt>
                <c:pt idx="20">
                  <c:v>157</c:v>
                </c:pt>
                <c:pt idx="21">
                  <c:v>157</c:v>
                </c:pt>
                <c:pt idx="22">
                  <c:v>157</c:v>
                </c:pt>
                <c:pt idx="23">
                  <c:v>157</c:v>
                </c:pt>
                <c:pt idx="24">
                  <c:v>157</c:v>
                </c:pt>
                <c:pt idx="25">
                  <c:v>157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183</c:v>
                </c:pt>
                <c:pt idx="37">
                  <c:v>183</c:v>
                </c:pt>
                <c:pt idx="38">
                  <c:v>183</c:v>
                </c:pt>
                <c:pt idx="39">
                  <c:v>183</c:v>
                </c:pt>
                <c:pt idx="40">
                  <c:v>196</c:v>
                </c:pt>
                <c:pt idx="41">
                  <c:v>196</c:v>
                </c:pt>
                <c:pt idx="42">
                  <c:v>196</c:v>
                </c:pt>
                <c:pt idx="43">
                  <c:v>196</c:v>
                </c:pt>
                <c:pt idx="44">
                  <c:v>196</c:v>
                </c:pt>
                <c:pt idx="45">
                  <c:v>196</c:v>
                </c:pt>
                <c:pt idx="46">
                  <c:v>196</c:v>
                </c:pt>
                <c:pt idx="47">
                  <c:v>202</c:v>
                </c:pt>
                <c:pt idx="48">
                  <c:v>202</c:v>
                </c:pt>
                <c:pt idx="49">
                  <c:v>202</c:v>
                </c:pt>
                <c:pt idx="50">
                  <c:v>202</c:v>
                </c:pt>
                <c:pt idx="51">
                  <c:v>202</c:v>
                </c:pt>
                <c:pt idx="52">
                  <c:v>202</c:v>
                </c:pt>
                <c:pt idx="53">
                  <c:v>202</c:v>
                </c:pt>
                <c:pt idx="54">
                  <c:v>203</c:v>
                </c:pt>
                <c:pt idx="55">
                  <c:v>203</c:v>
                </c:pt>
                <c:pt idx="56">
                  <c:v>203</c:v>
                </c:pt>
                <c:pt idx="57">
                  <c:v>203</c:v>
                </c:pt>
                <c:pt idx="58">
                  <c:v>203</c:v>
                </c:pt>
                <c:pt idx="59">
                  <c:v>203</c:v>
                </c:pt>
                <c:pt idx="60">
                  <c:v>203</c:v>
                </c:pt>
                <c:pt idx="61">
                  <c:v>188</c:v>
                </c:pt>
                <c:pt idx="62">
                  <c:v>188</c:v>
                </c:pt>
                <c:pt idx="63">
                  <c:v>188</c:v>
                </c:pt>
                <c:pt idx="64">
                  <c:v>188</c:v>
                </c:pt>
                <c:pt idx="65">
                  <c:v>188</c:v>
                </c:pt>
                <c:pt idx="66">
                  <c:v>188</c:v>
                </c:pt>
                <c:pt idx="67">
                  <c:v>188</c:v>
                </c:pt>
                <c:pt idx="68">
                  <c:v>199</c:v>
                </c:pt>
                <c:pt idx="69">
                  <c:v>199</c:v>
                </c:pt>
                <c:pt idx="70">
                  <c:v>199</c:v>
                </c:pt>
                <c:pt idx="71">
                  <c:v>199</c:v>
                </c:pt>
                <c:pt idx="72">
                  <c:v>199</c:v>
                </c:pt>
                <c:pt idx="73">
                  <c:v>199</c:v>
                </c:pt>
                <c:pt idx="74">
                  <c:v>199</c:v>
                </c:pt>
                <c:pt idx="75">
                  <c:v>218</c:v>
                </c:pt>
                <c:pt idx="76">
                  <c:v>218</c:v>
                </c:pt>
                <c:pt idx="77">
                  <c:v>218</c:v>
                </c:pt>
                <c:pt idx="78">
                  <c:v>218</c:v>
                </c:pt>
                <c:pt idx="79">
                  <c:v>218</c:v>
                </c:pt>
                <c:pt idx="80">
                  <c:v>218</c:v>
                </c:pt>
                <c:pt idx="81">
                  <c:v>218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211</c:v>
                </c:pt>
                <c:pt idx="90">
                  <c:v>211</c:v>
                </c:pt>
                <c:pt idx="91">
                  <c:v>211</c:v>
                </c:pt>
                <c:pt idx="92">
                  <c:v>211</c:v>
                </c:pt>
                <c:pt idx="93">
                  <c:v>211</c:v>
                </c:pt>
                <c:pt idx="94">
                  <c:v>211</c:v>
                </c:pt>
                <c:pt idx="95">
                  <c:v>211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215</c:v>
                </c:pt>
                <c:pt idx="104">
                  <c:v>215</c:v>
                </c:pt>
                <c:pt idx="105">
                  <c:v>215</c:v>
                </c:pt>
                <c:pt idx="106">
                  <c:v>215</c:v>
                </c:pt>
                <c:pt idx="107">
                  <c:v>215</c:v>
                </c:pt>
                <c:pt idx="108">
                  <c:v>215</c:v>
                </c:pt>
                <c:pt idx="109">
                  <c:v>215</c:v>
                </c:pt>
                <c:pt idx="110">
                  <c:v>209</c:v>
                </c:pt>
                <c:pt idx="111">
                  <c:v>209</c:v>
                </c:pt>
                <c:pt idx="112">
                  <c:v>209</c:v>
                </c:pt>
                <c:pt idx="113">
                  <c:v>209</c:v>
                </c:pt>
                <c:pt idx="114">
                  <c:v>209</c:v>
                </c:pt>
                <c:pt idx="115">
                  <c:v>209</c:v>
                </c:pt>
                <c:pt idx="116">
                  <c:v>209</c:v>
                </c:pt>
                <c:pt idx="117">
                  <c:v>214</c:v>
                </c:pt>
                <c:pt idx="118">
                  <c:v>214</c:v>
                </c:pt>
                <c:pt idx="119">
                  <c:v>214</c:v>
                </c:pt>
                <c:pt idx="120">
                  <c:v>214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209</c:v>
                </c:pt>
                <c:pt idx="125">
                  <c:v>209</c:v>
                </c:pt>
                <c:pt idx="126">
                  <c:v>209</c:v>
                </c:pt>
                <c:pt idx="127">
                  <c:v>209</c:v>
                </c:pt>
                <c:pt idx="128">
                  <c:v>209</c:v>
                </c:pt>
                <c:pt idx="129">
                  <c:v>209</c:v>
                </c:pt>
                <c:pt idx="130">
                  <c:v>209</c:v>
                </c:pt>
                <c:pt idx="131">
                  <c:v>199</c:v>
                </c:pt>
                <c:pt idx="132">
                  <c:v>199</c:v>
                </c:pt>
                <c:pt idx="133">
                  <c:v>199</c:v>
                </c:pt>
                <c:pt idx="134">
                  <c:v>199</c:v>
                </c:pt>
                <c:pt idx="135">
                  <c:v>199</c:v>
                </c:pt>
                <c:pt idx="136">
                  <c:v>199</c:v>
                </c:pt>
                <c:pt idx="137">
                  <c:v>199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168</c:v>
                </c:pt>
                <c:pt idx="146">
                  <c:v>168</c:v>
                </c:pt>
                <c:pt idx="147">
                  <c:v>168</c:v>
                </c:pt>
                <c:pt idx="148">
                  <c:v>168</c:v>
                </c:pt>
                <c:pt idx="149">
                  <c:v>168</c:v>
                </c:pt>
                <c:pt idx="150">
                  <c:v>168</c:v>
                </c:pt>
                <c:pt idx="151">
                  <c:v>168</c:v>
                </c:pt>
                <c:pt idx="152">
                  <c:v>149</c:v>
                </c:pt>
                <c:pt idx="153">
                  <c:v>149</c:v>
                </c:pt>
                <c:pt idx="154">
                  <c:v>149</c:v>
                </c:pt>
                <c:pt idx="155">
                  <c:v>149</c:v>
                </c:pt>
                <c:pt idx="156">
                  <c:v>149</c:v>
                </c:pt>
                <c:pt idx="157">
                  <c:v>149</c:v>
                </c:pt>
                <c:pt idx="158">
                  <c:v>149</c:v>
                </c:pt>
                <c:pt idx="159">
                  <c:v>147</c:v>
                </c:pt>
                <c:pt idx="160">
                  <c:v>147</c:v>
                </c:pt>
                <c:pt idx="161">
                  <c:v>147</c:v>
                </c:pt>
                <c:pt idx="162">
                  <c:v>147</c:v>
                </c:pt>
                <c:pt idx="163">
                  <c:v>147</c:v>
                </c:pt>
                <c:pt idx="164">
                  <c:v>147</c:v>
                </c:pt>
                <c:pt idx="165">
                  <c:v>147</c:v>
                </c:pt>
                <c:pt idx="166">
                  <c:v>141</c:v>
                </c:pt>
                <c:pt idx="167">
                  <c:v>141</c:v>
                </c:pt>
                <c:pt idx="168">
                  <c:v>141</c:v>
                </c:pt>
                <c:pt idx="169">
                  <c:v>141</c:v>
                </c:pt>
                <c:pt idx="170">
                  <c:v>141</c:v>
                </c:pt>
                <c:pt idx="171">
                  <c:v>141</c:v>
                </c:pt>
                <c:pt idx="172">
                  <c:v>141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145</c:v>
                </c:pt>
                <c:pt idx="178">
                  <c:v>145</c:v>
                </c:pt>
                <c:pt idx="179">
                  <c:v>145</c:v>
                </c:pt>
                <c:pt idx="180">
                  <c:v>173</c:v>
                </c:pt>
                <c:pt idx="181">
                  <c:v>173</c:v>
                </c:pt>
                <c:pt idx="182">
                  <c:v>173</c:v>
                </c:pt>
                <c:pt idx="183">
                  <c:v>173</c:v>
                </c:pt>
                <c:pt idx="184">
                  <c:v>173</c:v>
                </c:pt>
                <c:pt idx="185">
                  <c:v>173</c:v>
                </c:pt>
                <c:pt idx="186">
                  <c:v>173</c:v>
                </c:pt>
                <c:pt idx="187">
                  <c:v>208</c:v>
                </c:pt>
                <c:pt idx="188">
                  <c:v>208</c:v>
                </c:pt>
                <c:pt idx="189">
                  <c:v>208</c:v>
                </c:pt>
                <c:pt idx="190">
                  <c:v>208</c:v>
                </c:pt>
                <c:pt idx="191">
                  <c:v>208</c:v>
                </c:pt>
                <c:pt idx="192">
                  <c:v>208</c:v>
                </c:pt>
                <c:pt idx="193">
                  <c:v>208</c:v>
                </c:pt>
                <c:pt idx="194">
                  <c:v>244</c:v>
                </c:pt>
                <c:pt idx="195">
                  <c:v>244</c:v>
                </c:pt>
                <c:pt idx="196">
                  <c:v>244</c:v>
                </c:pt>
                <c:pt idx="197">
                  <c:v>244</c:v>
                </c:pt>
                <c:pt idx="198">
                  <c:v>244</c:v>
                </c:pt>
                <c:pt idx="199">
                  <c:v>244</c:v>
                </c:pt>
                <c:pt idx="200">
                  <c:v>244</c:v>
                </c:pt>
                <c:pt idx="201">
                  <c:v>285</c:v>
                </c:pt>
                <c:pt idx="202">
                  <c:v>285</c:v>
                </c:pt>
                <c:pt idx="203">
                  <c:v>285</c:v>
                </c:pt>
                <c:pt idx="204">
                  <c:v>285</c:v>
                </c:pt>
                <c:pt idx="205">
                  <c:v>285</c:v>
                </c:pt>
                <c:pt idx="206">
                  <c:v>285</c:v>
                </c:pt>
                <c:pt idx="207">
                  <c:v>285</c:v>
                </c:pt>
                <c:pt idx="208">
                  <c:v>331</c:v>
                </c:pt>
                <c:pt idx="209">
                  <c:v>331</c:v>
                </c:pt>
                <c:pt idx="210">
                  <c:v>331</c:v>
                </c:pt>
                <c:pt idx="211">
                  <c:v>331</c:v>
                </c:pt>
                <c:pt idx="212">
                  <c:v>331</c:v>
                </c:pt>
                <c:pt idx="213">
                  <c:v>331</c:v>
                </c:pt>
                <c:pt idx="214">
                  <c:v>331</c:v>
                </c:pt>
                <c:pt idx="215">
                  <c:v>337</c:v>
                </c:pt>
                <c:pt idx="216">
                  <c:v>337</c:v>
                </c:pt>
                <c:pt idx="217">
                  <c:v>337</c:v>
                </c:pt>
                <c:pt idx="218">
                  <c:v>337</c:v>
                </c:pt>
                <c:pt idx="219">
                  <c:v>337</c:v>
                </c:pt>
                <c:pt idx="220">
                  <c:v>337</c:v>
                </c:pt>
                <c:pt idx="221">
                  <c:v>337</c:v>
                </c:pt>
                <c:pt idx="222">
                  <c:v>334</c:v>
                </c:pt>
                <c:pt idx="223">
                  <c:v>334</c:v>
                </c:pt>
                <c:pt idx="224">
                  <c:v>334</c:v>
                </c:pt>
                <c:pt idx="225">
                  <c:v>334</c:v>
                </c:pt>
                <c:pt idx="226">
                  <c:v>334</c:v>
                </c:pt>
                <c:pt idx="227">
                  <c:v>334</c:v>
                </c:pt>
                <c:pt idx="228">
                  <c:v>334</c:v>
                </c:pt>
                <c:pt idx="229">
                  <c:v>362</c:v>
                </c:pt>
                <c:pt idx="230">
                  <c:v>362</c:v>
                </c:pt>
                <c:pt idx="231">
                  <c:v>362</c:v>
                </c:pt>
                <c:pt idx="232">
                  <c:v>362</c:v>
                </c:pt>
                <c:pt idx="233">
                  <c:v>362</c:v>
                </c:pt>
                <c:pt idx="234">
                  <c:v>362</c:v>
                </c:pt>
                <c:pt idx="235">
                  <c:v>362</c:v>
                </c:pt>
                <c:pt idx="236">
                  <c:v>426</c:v>
                </c:pt>
                <c:pt idx="237">
                  <c:v>426</c:v>
                </c:pt>
                <c:pt idx="238">
                  <c:v>426</c:v>
                </c:pt>
                <c:pt idx="239">
                  <c:v>426</c:v>
                </c:pt>
                <c:pt idx="240">
                  <c:v>426</c:v>
                </c:pt>
                <c:pt idx="241">
                  <c:v>426</c:v>
                </c:pt>
                <c:pt idx="242">
                  <c:v>426</c:v>
                </c:pt>
                <c:pt idx="243">
                  <c:v>684</c:v>
                </c:pt>
                <c:pt idx="244">
                  <c:v>684</c:v>
                </c:pt>
                <c:pt idx="245">
                  <c:v>684</c:v>
                </c:pt>
                <c:pt idx="246">
                  <c:v>684</c:v>
                </c:pt>
                <c:pt idx="247">
                  <c:v>684</c:v>
                </c:pt>
                <c:pt idx="248">
                  <c:v>684</c:v>
                </c:pt>
                <c:pt idx="249">
                  <c:v>684</c:v>
                </c:pt>
                <c:pt idx="250">
                  <c:v>729</c:v>
                </c:pt>
                <c:pt idx="251">
                  <c:v>729</c:v>
                </c:pt>
                <c:pt idx="252">
                  <c:v>729</c:v>
                </c:pt>
                <c:pt idx="253">
                  <c:v>729</c:v>
                </c:pt>
                <c:pt idx="254">
                  <c:v>729</c:v>
                </c:pt>
                <c:pt idx="255">
                  <c:v>729</c:v>
                </c:pt>
                <c:pt idx="256">
                  <c:v>729</c:v>
                </c:pt>
                <c:pt idx="257">
                  <c:v>773</c:v>
                </c:pt>
                <c:pt idx="258">
                  <c:v>773</c:v>
                </c:pt>
                <c:pt idx="259">
                  <c:v>773</c:v>
                </c:pt>
                <c:pt idx="260">
                  <c:v>773</c:v>
                </c:pt>
                <c:pt idx="261">
                  <c:v>773</c:v>
                </c:pt>
                <c:pt idx="262">
                  <c:v>773</c:v>
                </c:pt>
                <c:pt idx="263">
                  <c:v>773</c:v>
                </c:pt>
                <c:pt idx="264">
                  <c:v>579</c:v>
                </c:pt>
                <c:pt idx="265">
                  <c:v>579</c:v>
                </c:pt>
                <c:pt idx="266">
                  <c:v>579</c:v>
                </c:pt>
                <c:pt idx="267">
                  <c:v>579</c:v>
                </c:pt>
                <c:pt idx="268">
                  <c:v>579</c:v>
                </c:pt>
                <c:pt idx="269">
                  <c:v>579</c:v>
                </c:pt>
                <c:pt idx="270">
                  <c:v>579</c:v>
                </c:pt>
                <c:pt idx="271">
                  <c:v>697</c:v>
                </c:pt>
                <c:pt idx="272">
                  <c:v>697</c:v>
                </c:pt>
                <c:pt idx="273">
                  <c:v>697</c:v>
                </c:pt>
                <c:pt idx="274">
                  <c:v>697</c:v>
                </c:pt>
                <c:pt idx="275">
                  <c:v>697</c:v>
                </c:pt>
                <c:pt idx="276">
                  <c:v>697</c:v>
                </c:pt>
                <c:pt idx="277">
                  <c:v>697</c:v>
                </c:pt>
                <c:pt idx="278">
                  <c:v>665</c:v>
                </c:pt>
                <c:pt idx="279">
                  <c:v>665</c:v>
                </c:pt>
                <c:pt idx="280">
                  <c:v>665</c:v>
                </c:pt>
                <c:pt idx="281">
                  <c:v>665</c:v>
                </c:pt>
                <c:pt idx="282">
                  <c:v>665</c:v>
                </c:pt>
                <c:pt idx="283">
                  <c:v>665</c:v>
                </c:pt>
                <c:pt idx="284">
                  <c:v>665</c:v>
                </c:pt>
                <c:pt idx="285">
                  <c:v>584</c:v>
                </c:pt>
                <c:pt idx="286">
                  <c:v>584</c:v>
                </c:pt>
                <c:pt idx="287">
                  <c:v>584</c:v>
                </c:pt>
                <c:pt idx="288">
                  <c:v>584</c:v>
                </c:pt>
                <c:pt idx="289">
                  <c:v>584</c:v>
                </c:pt>
                <c:pt idx="290">
                  <c:v>584</c:v>
                </c:pt>
                <c:pt idx="291">
                  <c:v>584</c:v>
                </c:pt>
                <c:pt idx="292">
                  <c:v>491</c:v>
                </c:pt>
                <c:pt idx="293">
                  <c:v>491</c:v>
                </c:pt>
                <c:pt idx="294">
                  <c:v>491</c:v>
                </c:pt>
                <c:pt idx="295">
                  <c:v>491</c:v>
                </c:pt>
                <c:pt idx="296">
                  <c:v>491</c:v>
                </c:pt>
                <c:pt idx="297">
                  <c:v>491</c:v>
                </c:pt>
                <c:pt idx="298">
                  <c:v>491</c:v>
                </c:pt>
                <c:pt idx="299">
                  <c:v>252</c:v>
                </c:pt>
                <c:pt idx="300">
                  <c:v>252</c:v>
                </c:pt>
                <c:pt idx="301">
                  <c:v>252</c:v>
                </c:pt>
                <c:pt idx="302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F-4F69-BD76-E1932784B55E}"/>
            </c:ext>
          </c:extLst>
        </c:ser>
        <c:ser>
          <c:idx val="2"/>
          <c:order val="2"/>
          <c:tx>
            <c:strRef>
              <c:f>report!$F$1</c:f>
              <c:strCache>
                <c:ptCount val="1"/>
                <c:pt idx="0">
                  <c:v>MAU</c:v>
                </c:pt>
              </c:strCache>
            </c:strRef>
          </c:tx>
          <c:spPr>
            <a:ln w="635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report!$A$2:$C$304</c:f>
              <c:multiLvlStrCache>
                <c:ptCount val="303"/>
                <c:lvl>
                  <c:pt idx="0">
                    <c:v>Июль 2025</c:v>
                  </c:pt>
                  <c:pt idx="1">
                    <c:v>Июль 2025</c:v>
                  </c:pt>
                  <c:pt idx="2">
                    <c:v>Июль 2025</c:v>
                  </c:pt>
                  <c:pt idx="3">
                    <c:v>Июль 2025</c:v>
                  </c:pt>
                  <c:pt idx="4">
                    <c:v>Июль 2025</c:v>
                  </c:pt>
                  <c:pt idx="5">
                    <c:v>Июль 2025</c:v>
                  </c:pt>
                  <c:pt idx="6">
                    <c:v>Июль 2025</c:v>
                  </c:pt>
                  <c:pt idx="7">
                    <c:v>Июль 2025</c:v>
                  </c:pt>
                  <c:pt idx="8">
                    <c:v>Июль 2025</c:v>
                  </c:pt>
                  <c:pt idx="9">
                    <c:v>Июль 2025</c:v>
                  </c:pt>
                  <c:pt idx="10">
                    <c:v>Июль 2025</c:v>
                  </c:pt>
                  <c:pt idx="11">
                    <c:v>Июль 2025</c:v>
                  </c:pt>
                  <c:pt idx="12">
                    <c:v>Июль 2025</c:v>
                  </c:pt>
                  <c:pt idx="13">
                    <c:v>Июль 2025</c:v>
                  </c:pt>
                  <c:pt idx="14">
                    <c:v>Июль 2025</c:v>
                  </c:pt>
                  <c:pt idx="15">
                    <c:v>Июль 2025</c:v>
                  </c:pt>
                  <c:pt idx="16">
                    <c:v>Июль 2025</c:v>
                  </c:pt>
                  <c:pt idx="17">
                    <c:v>Июль 2025</c:v>
                  </c:pt>
                  <c:pt idx="18">
                    <c:v>Июль 2025</c:v>
                  </c:pt>
                  <c:pt idx="19">
                    <c:v>Июль 2025</c:v>
                  </c:pt>
                  <c:pt idx="20">
                    <c:v>Июль 2025</c:v>
                  </c:pt>
                  <c:pt idx="21">
                    <c:v>Июль 2025</c:v>
                  </c:pt>
                  <c:pt idx="22">
                    <c:v>Июль 2025</c:v>
                  </c:pt>
                  <c:pt idx="23">
                    <c:v>Июль 2025</c:v>
                  </c:pt>
                  <c:pt idx="24">
                    <c:v>Июль 2025</c:v>
                  </c:pt>
                  <c:pt idx="25">
                    <c:v>Июль 2025</c:v>
                  </c:pt>
                  <c:pt idx="26">
                    <c:v>Июль 2025</c:v>
                  </c:pt>
                  <c:pt idx="27">
                    <c:v>Июль 2025</c:v>
                  </c:pt>
                  <c:pt idx="28">
                    <c:v>Июль 2025</c:v>
                  </c:pt>
                  <c:pt idx="29">
                    <c:v>Июль 2025</c:v>
                  </c:pt>
                  <c:pt idx="30">
                    <c:v>Август 2025</c:v>
                  </c:pt>
                  <c:pt idx="31">
                    <c:v>Август 2025</c:v>
                  </c:pt>
                  <c:pt idx="32">
                    <c:v>Август 2025</c:v>
                  </c:pt>
                  <c:pt idx="33">
                    <c:v>Август 2025</c:v>
                  </c:pt>
                  <c:pt idx="34">
                    <c:v>Август 2025</c:v>
                  </c:pt>
                  <c:pt idx="35">
                    <c:v>Август 2025</c:v>
                  </c:pt>
                  <c:pt idx="36">
                    <c:v>Август 2025</c:v>
                  </c:pt>
                  <c:pt idx="37">
                    <c:v>Август 2025</c:v>
                  </c:pt>
                  <c:pt idx="38">
                    <c:v>Август 2025</c:v>
                  </c:pt>
                  <c:pt idx="39">
                    <c:v>Август 2025</c:v>
                  </c:pt>
                  <c:pt idx="40">
                    <c:v>Август 2025</c:v>
                  </c:pt>
                  <c:pt idx="41">
                    <c:v>Август 2025</c:v>
                  </c:pt>
                  <c:pt idx="42">
                    <c:v>Август 2025</c:v>
                  </c:pt>
                  <c:pt idx="43">
                    <c:v>Август 2025</c:v>
                  </c:pt>
                  <c:pt idx="44">
                    <c:v>Август 2025</c:v>
                  </c:pt>
                  <c:pt idx="45">
                    <c:v>Август 2025</c:v>
                  </c:pt>
                  <c:pt idx="46">
                    <c:v>Август 2025</c:v>
                  </c:pt>
                  <c:pt idx="47">
                    <c:v>Август 2025</c:v>
                  </c:pt>
                  <c:pt idx="48">
                    <c:v>Август 2025</c:v>
                  </c:pt>
                  <c:pt idx="49">
                    <c:v>Август 2025</c:v>
                  </c:pt>
                  <c:pt idx="50">
                    <c:v>Август 2025</c:v>
                  </c:pt>
                  <c:pt idx="51">
                    <c:v>Август 2025</c:v>
                  </c:pt>
                  <c:pt idx="52">
                    <c:v>Август 2025</c:v>
                  </c:pt>
                  <c:pt idx="53">
                    <c:v>Август 2025</c:v>
                  </c:pt>
                  <c:pt idx="54">
                    <c:v>Август 2025</c:v>
                  </c:pt>
                  <c:pt idx="55">
                    <c:v>Август 2025</c:v>
                  </c:pt>
                  <c:pt idx="56">
                    <c:v>Август 2025</c:v>
                  </c:pt>
                  <c:pt idx="57">
                    <c:v>Август 2025</c:v>
                  </c:pt>
                  <c:pt idx="58">
                    <c:v>Август 2025</c:v>
                  </c:pt>
                  <c:pt idx="59">
                    <c:v>Август 2025</c:v>
                  </c:pt>
                  <c:pt idx="60">
                    <c:v>Август 2025</c:v>
                  </c:pt>
                  <c:pt idx="61">
                    <c:v>Сентябрь 2025</c:v>
                  </c:pt>
                  <c:pt idx="62">
                    <c:v>Сентябрь 2025</c:v>
                  </c:pt>
                  <c:pt idx="63">
                    <c:v>Сентябрь 2025</c:v>
                  </c:pt>
                  <c:pt idx="64">
                    <c:v>Сентябрь 2025</c:v>
                  </c:pt>
                  <c:pt idx="65">
                    <c:v>Сентябрь 2025</c:v>
                  </c:pt>
                  <c:pt idx="66">
                    <c:v>Сентябрь 2025</c:v>
                  </c:pt>
                  <c:pt idx="67">
                    <c:v>Сентябрь 2025</c:v>
                  </c:pt>
                  <c:pt idx="68">
                    <c:v>Сентябрь 2025</c:v>
                  </c:pt>
                  <c:pt idx="69">
                    <c:v>Сентябрь 2025</c:v>
                  </c:pt>
                  <c:pt idx="70">
                    <c:v>Сентябрь 2025</c:v>
                  </c:pt>
                  <c:pt idx="71">
                    <c:v>Сентябрь 2025</c:v>
                  </c:pt>
                  <c:pt idx="72">
                    <c:v>Сентябрь 2025</c:v>
                  </c:pt>
                  <c:pt idx="73">
                    <c:v>Сентябрь 2025</c:v>
                  </c:pt>
                  <c:pt idx="74">
                    <c:v>Сентябрь 2025</c:v>
                  </c:pt>
                  <c:pt idx="75">
                    <c:v>Сентябрь 2025</c:v>
                  </c:pt>
                  <c:pt idx="76">
                    <c:v>Сентябрь 2025</c:v>
                  </c:pt>
                  <c:pt idx="77">
                    <c:v>Сентябрь 2025</c:v>
                  </c:pt>
                  <c:pt idx="78">
                    <c:v>Сентябрь 2025</c:v>
                  </c:pt>
                  <c:pt idx="79">
                    <c:v>Сентябрь 2025</c:v>
                  </c:pt>
                  <c:pt idx="80">
                    <c:v>Сентябрь 2025</c:v>
                  </c:pt>
                  <c:pt idx="81">
                    <c:v>Сентябрь 2025</c:v>
                  </c:pt>
                  <c:pt idx="82">
                    <c:v>Сентябрь 2025</c:v>
                  </c:pt>
                  <c:pt idx="83">
                    <c:v>Сентябрь 2025</c:v>
                  </c:pt>
                  <c:pt idx="84">
                    <c:v>Сентябрь 2025</c:v>
                  </c:pt>
                  <c:pt idx="85">
                    <c:v>Сентябрь 2025</c:v>
                  </c:pt>
                  <c:pt idx="86">
                    <c:v>Сентябрь 2025</c:v>
                  </c:pt>
                  <c:pt idx="87">
                    <c:v>Сентябрь 2025</c:v>
                  </c:pt>
                  <c:pt idx="88">
                    <c:v>Сентябрь 2025</c:v>
                  </c:pt>
                  <c:pt idx="89">
                    <c:v>Сентябрь 2025</c:v>
                  </c:pt>
                  <c:pt idx="90">
                    <c:v>Сентябрь 2025</c:v>
                  </c:pt>
                  <c:pt idx="91">
                    <c:v>Октябрь 2025</c:v>
                  </c:pt>
                  <c:pt idx="92">
                    <c:v>Октябрь 2025</c:v>
                  </c:pt>
                  <c:pt idx="93">
                    <c:v>Октябрь 2025</c:v>
                  </c:pt>
                  <c:pt idx="94">
                    <c:v>Октябрь 2025</c:v>
                  </c:pt>
                  <c:pt idx="95">
                    <c:v>Октябрь 2025</c:v>
                  </c:pt>
                  <c:pt idx="96">
                    <c:v>Октябрь 2025</c:v>
                  </c:pt>
                  <c:pt idx="97">
                    <c:v>Октябрь 2025</c:v>
                  </c:pt>
                  <c:pt idx="98">
                    <c:v>Октябрь 2025</c:v>
                  </c:pt>
                  <c:pt idx="99">
                    <c:v>Октябрь 2025</c:v>
                  </c:pt>
                  <c:pt idx="100">
                    <c:v>Октябрь 2025</c:v>
                  </c:pt>
                  <c:pt idx="101">
                    <c:v>Октябрь 2025</c:v>
                  </c:pt>
                  <c:pt idx="102">
                    <c:v>Октябрь 2025</c:v>
                  </c:pt>
                  <c:pt idx="103">
                    <c:v>Октябрь 2025</c:v>
                  </c:pt>
                  <c:pt idx="104">
                    <c:v>Октябрь 2025</c:v>
                  </c:pt>
                  <c:pt idx="105">
                    <c:v>Октябрь 2025</c:v>
                  </c:pt>
                  <c:pt idx="106">
                    <c:v>Октябрь 2025</c:v>
                  </c:pt>
                  <c:pt idx="107">
                    <c:v>Октябрь 2025</c:v>
                  </c:pt>
                  <c:pt idx="108">
                    <c:v>Октябрь 2025</c:v>
                  </c:pt>
                  <c:pt idx="109">
                    <c:v>Октябрь 2025</c:v>
                  </c:pt>
                  <c:pt idx="110">
                    <c:v>Октябрь 2025</c:v>
                  </c:pt>
                  <c:pt idx="111">
                    <c:v>Октябрь 2025</c:v>
                  </c:pt>
                  <c:pt idx="112">
                    <c:v>Октябрь 2025</c:v>
                  </c:pt>
                  <c:pt idx="113">
                    <c:v>Октябрь 2025</c:v>
                  </c:pt>
                  <c:pt idx="114">
                    <c:v>Октябрь 2025</c:v>
                  </c:pt>
                  <c:pt idx="115">
                    <c:v>Октябрь 2025</c:v>
                  </c:pt>
                  <c:pt idx="116">
                    <c:v>Октябрь 2025</c:v>
                  </c:pt>
                  <c:pt idx="117">
                    <c:v>Октябрь 2025</c:v>
                  </c:pt>
                  <c:pt idx="118">
                    <c:v>Октябрь 2025</c:v>
                  </c:pt>
                  <c:pt idx="119">
                    <c:v>Октябрь 2025</c:v>
                  </c:pt>
                  <c:pt idx="120">
                    <c:v>Октябрь 2025</c:v>
                  </c:pt>
                  <c:pt idx="121">
                    <c:v>Октябрь 2025</c:v>
                  </c:pt>
                  <c:pt idx="122">
                    <c:v>Ноябрь 2025</c:v>
                  </c:pt>
                  <c:pt idx="123">
                    <c:v>Ноябрь 2025</c:v>
                  </c:pt>
                  <c:pt idx="124">
                    <c:v>Ноябрь 2025</c:v>
                  </c:pt>
                  <c:pt idx="125">
                    <c:v>Ноябрь 2025</c:v>
                  </c:pt>
                  <c:pt idx="126">
                    <c:v>Ноябрь 2025</c:v>
                  </c:pt>
                  <c:pt idx="127">
                    <c:v>Ноябрь 2025</c:v>
                  </c:pt>
                  <c:pt idx="128">
                    <c:v>Ноябрь 2025</c:v>
                  </c:pt>
                  <c:pt idx="129">
                    <c:v>Ноябрь 2025</c:v>
                  </c:pt>
                  <c:pt idx="130">
                    <c:v>Ноябрь 2025</c:v>
                  </c:pt>
                  <c:pt idx="131">
                    <c:v>Ноябрь 2025</c:v>
                  </c:pt>
                  <c:pt idx="132">
                    <c:v>Ноябрь 2025</c:v>
                  </c:pt>
                  <c:pt idx="133">
                    <c:v>Ноябрь 2025</c:v>
                  </c:pt>
                  <c:pt idx="134">
                    <c:v>Ноябрь 2025</c:v>
                  </c:pt>
                  <c:pt idx="135">
                    <c:v>Ноябрь 2025</c:v>
                  </c:pt>
                  <c:pt idx="136">
                    <c:v>Ноябрь 2025</c:v>
                  </c:pt>
                  <c:pt idx="137">
                    <c:v>Ноябрь 2025</c:v>
                  </c:pt>
                  <c:pt idx="138">
                    <c:v>Ноябрь 2025</c:v>
                  </c:pt>
                  <c:pt idx="139">
                    <c:v>Ноябрь 2025</c:v>
                  </c:pt>
                  <c:pt idx="140">
                    <c:v>Ноябрь 2025</c:v>
                  </c:pt>
                  <c:pt idx="141">
                    <c:v>Ноябрь 2025</c:v>
                  </c:pt>
                  <c:pt idx="142">
                    <c:v>Ноябрь 2025</c:v>
                  </c:pt>
                  <c:pt idx="143">
                    <c:v>Ноябрь 2025</c:v>
                  </c:pt>
                  <c:pt idx="144">
                    <c:v>Ноябрь 2025</c:v>
                  </c:pt>
                  <c:pt idx="145">
                    <c:v>Ноябрь 2025</c:v>
                  </c:pt>
                  <c:pt idx="146">
                    <c:v>Ноябрь 2025</c:v>
                  </c:pt>
                  <c:pt idx="147">
                    <c:v>Ноябрь 2025</c:v>
                  </c:pt>
                  <c:pt idx="148">
                    <c:v>Ноябрь 2025</c:v>
                  </c:pt>
                  <c:pt idx="149">
                    <c:v>Ноябрь 2025</c:v>
                  </c:pt>
                  <c:pt idx="150">
                    <c:v>Ноябрь 2025</c:v>
                  </c:pt>
                  <c:pt idx="151">
                    <c:v>Ноябрь 2025</c:v>
                  </c:pt>
                  <c:pt idx="152">
                    <c:v>Декабрь 2025</c:v>
                  </c:pt>
                  <c:pt idx="153">
                    <c:v>Декабрь 2025</c:v>
                  </c:pt>
                  <c:pt idx="154">
                    <c:v>Декабрь 2025</c:v>
                  </c:pt>
                  <c:pt idx="155">
                    <c:v>Декабрь 2025</c:v>
                  </c:pt>
                  <c:pt idx="156">
                    <c:v>Декабрь 2025</c:v>
                  </c:pt>
                  <c:pt idx="157">
                    <c:v>Декабрь 2025</c:v>
                  </c:pt>
                  <c:pt idx="158">
                    <c:v>Декабрь 2025</c:v>
                  </c:pt>
                  <c:pt idx="159">
                    <c:v>Декабрь 2025</c:v>
                  </c:pt>
                  <c:pt idx="160">
                    <c:v>Декабрь 2025</c:v>
                  </c:pt>
                  <c:pt idx="161">
                    <c:v>Декабрь 2025</c:v>
                  </c:pt>
                  <c:pt idx="162">
                    <c:v>Декабрь 2025</c:v>
                  </c:pt>
                  <c:pt idx="163">
                    <c:v>Декабрь 2025</c:v>
                  </c:pt>
                  <c:pt idx="164">
                    <c:v>Декабрь 2025</c:v>
                  </c:pt>
                  <c:pt idx="165">
                    <c:v>Декабрь 2025</c:v>
                  </c:pt>
                  <c:pt idx="166">
                    <c:v>Декабрь 2025</c:v>
                  </c:pt>
                  <c:pt idx="167">
                    <c:v>Декабрь 2025</c:v>
                  </c:pt>
                  <c:pt idx="168">
                    <c:v>Декабрь 2025</c:v>
                  </c:pt>
                  <c:pt idx="169">
                    <c:v>Декабрь 2025</c:v>
                  </c:pt>
                  <c:pt idx="170">
                    <c:v>Декабрь 2025</c:v>
                  </c:pt>
                  <c:pt idx="171">
                    <c:v>Декабрь 2025</c:v>
                  </c:pt>
                  <c:pt idx="172">
                    <c:v>Декабрь 2025</c:v>
                  </c:pt>
                  <c:pt idx="173">
                    <c:v>Декабрь 2025</c:v>
                  </c:pt>
                  <c:pt idx="174">
                    <c:v>Декабрь 2025</c:v>
                  </c:pt>
                  <c:pt idx="175">
                    <c:v>Декабрь 2025</c:v>
                  </c:pt>
                  <c:pt idx="176">
                    <c:v>Декабрь 2025</c:v>
                  </c:pt>
                  <c:pt idx="177">
                    <c:v>Декабрь 2025</c:v>
                  </c:pt>
                  <c:pt idx="178">
                    <c:v>Декабрь 2025</c:v>
                  </c:pt>
                  <c:pt idx="179">
                    <c:v>Декабрь 2025</c:v>
                  </c:pt>
                  <c:pt idx="180">
                    <c:v>Декабрь 2025</c:v>
                  </c:pt>
                  <c:pt idx="181">
                    <c:v>Декабрь 2025</c:v>
                  </c:pt>
                  <c:pt idx="182">
                    <c:v>Декабрь 2025</c:v>
                  </c:pt>
                  <c:pt idx="183">
                    <c:v>Январь 2026</c:v>
                  </c:pt>
                  <c:pt idx="184">
                    <c:v>Январь 2026</c:v>
                  </c:pt>
                  <c:pt idx="185">
                    <c:v>Январь 2026</c:v>
                  </c:pt>
                  <c:pt idx="186">
                    <c:v>Январь 2026</c:v>
                  </c:pt>
                  <c:pt idx="187">
                    <c:v>Январь 2026</c:v>
                  </c:pt>
                  <c:pt idx="188">
                    <c:v>Январь 2026</c:v>
                  </c:pt>
                  <c:pt idx="189">
                    <c:v>Январь 2026</c:v>
                  </c:pt>
                  <c:pt idx="190">
                    <c:v>Январь 2026</c:v>
                  </c:pt>
                  <c:pt idx="191">
                    <c:v>Январь 2026</c:v>
                  </c:pt>
                  <c:pt idx="192">
                    <c:v>Январь 2026</c:v>
                  </c:pt>
                  <c:pt idx="193">
                    <c:v>Январь 2026</c:v>
                  </c:pt>
                  <c:pt idx="194">
                    <c:v>Январь 2026</c:v>
                  </c:pt>
                  <c:pt idx="195">
                    <c:v>Январь 2026</c:v>
                  </c:pt>
                  <c:pt idx="196">
                    <c:v>Январь 2026</c:v>
                  </c:pt>
                  <c:pt idx="197">
                    <c:v>Январь 2026</c:v>
                  </c:pt>
                  <c:pt idx="198">
                    <c:v>Январь 2026</c:v>
                  </c:pt>
                  <c:pt idx="199">
                    <c:v>Январь 2026</c:v>
                  </c:pt>
                  <c:pt idx="200">
                    <c:v>Январь 2026</c:v>
                  </c:pt>
                  <c:pt idx="201">
                    <c:v>Январь 2026</c:v>
                  </c:pt>
                  <c:pt idx="202">
                    <c:v>Январь 2026</c:v>
                  </c:pt>
                  <c:pt idx="203">
                    <c:v>Январь 2026</c:v>
                  </c:pt>
                  <c:pt idx="204">
                    <c:v>Январь 2026</c:v>
                  </c:pt>
                  <c:pt idx="205">
                    <c:v>Январь 2026</c:v>
                  </c:pt>
                  <c:pt idx="206">
                    <c:v>Январь 2026</c:v>
                  </c:pt>
                  <c:pt idx="207">
                    <c:v>Январь 2026</c:v>
                  </c:pt>
                  <c:pt idx="208">
                    <c:v>Январь 2026</c:v>
                  </c:pt>
                  <c:pt idx="209">
                    <c:v>Январь 2026</c:v>
                  </c:pt>
                  <c:pt idx="210">
                    <c:v>Январь 2026</c:v>
                  </c:pt>
                  <c:pt idx="211">
                    <c:v>Январь 2026</c:v>
                  </c:pt>
                  <c:pt idx="212">
                    <c:v>Январь 2026</c:v>
                  </c:pt>
                  <c:pt idx="213">
                    <c:v>Январь 2026</c:v>
                  </c:pt>
                  <c:pt idx="214">
                    <c:v>Февраль 2026</c:v>
                  </c:pt>
                  <c:pt idx="215">
                    <c:v>Февраль 2026</c:v>
                  </c:pt>
                  <c:pt idx="216">
                    <c:v>Февраль 2026</c:v>
                  </c:pt>
                  <c:pt idx="217">
                    <c:v>Февраль 2026</c:v>
                  </c:pt>
                  <c:pt idx="218">
                    <c:v>Февраль 2026</c:v>
                  </c:pt>
                  <c:pt idx="219">
                    <c:v>Февраль 2026</c:v>
                  </c:pt>
                  <c:pt idx="220">
                    <c:v>Февраль 2026</c:v>
                  </c:pt>
                  <c:pt idx="221">
                    <c:v>Февраль 2026</c:v>
                  </c:pt>
                  <c:pt idx="222">
                    <c:v>Февраль 2026</c:v>
                  </c:pt>
                  <c:pt idx="223">
                    <c:v>Февраль 2026</c:v>
                  </c:pt>
                  <c:pt idx="224">
                    <c:v>Февраль 2026</c:v>
                  </c:pt>
                  <c:pt idx="225">
                    <c:v>Февраль 2026</c:v>
                  </c:pt>
                  <c:pt idx="226">
                    <c:v>Февраль 2026</c:v>
                  </c:pt>
                  <c:pt idx="227">
                    <c:v>Февраль 2026</c:v>
                  </c:pt>
                  <c:pt idx="228">
                    <c:v>Февраль 2026</c:v>
                  </c:pt>
                  <c:pt idx="229">
                    <c:v>Февраль 2026</c:v>
                  </c:pt>
                  <c:pt idx="230">
                    <c:v>Февраль 2026</c:v>
                  </c:pt>
                  <c:pt idx="231">
                    <c:v>Февраль 2026</c:v>
                  </c:pt>
                  <c:pt idx="232">
                    <c:v>Февраль 2026</c:v>
                  </c:pt>
                  <c:pt idx="233">
                    <c:v>Февраль 2026</c:v>
                  </c:pt>
                  <c:pt idx="234">
                    <c:v>Февраль 2026</c:v>
                  </c:pt>
                  <c:pt idx="235">
                    <c:v>Февраль 2026</c:v>
                  </c:pt>
                  <c:pt idx="236">
                    <c:v>Февраль 2026</c:v>
                  </c:pt>
                  <c:pt idx="237">
                    <c:v>Февраль 2026</c:v>
                  </c:pt>
                  <c:pt idx="238">
                    <c:v>Февраль 2026</c:v>
                  </c:pt>
                  <c:pt idx="239">
                    <c:v>Февраль 2026</c:v>
                  </c:pt>
                  <c:pt idx="240">
                    <c:v>Февраль 2026</c:v>
                  </c:pt>
                  <c:pt idx="241">
                    <c:v>Февраль 2026</c:v>
                  </c:pt>
                  <c:pt idx="242">
                    <c:v>Март 2026</c:v>
                  </c:pt>
                  <c:pt idx="243">
                    <c:v>Март 2026</c:v>
                  </c:pt>
                  <c:pt idx="244">
                    <c:v>Март 2026</c:v>
                  </c:pt>
                  <c:pt idx="245">
                    <c:v>Март 2026</c:v>
                  </c:pt>
                  <c:pt idx="246">
                    <c:v>Март 2026</c:v>
                  </c:pt>
                  <c:pt idx="247">
                    <c:v>Март 2026</c:v>
                  </c:pt>
                  <c:pt idx="248">
                    <c:v>Март 2026</c:v>
                  </c:pt>
                  <c:pt idx="249">
                    <c:v>Март 2026</c:v>
                  </c:pt>
                  <c:pt idx="250">
                    <c:v>Март 2026</c:v>
                  </c:pt>
                  <c:pt idx="251">
                    <c:v>Март 2026</c:v>
                  </c:pt>
                  <c:pt idx="252">
                    <c:v>Март 2026</c:v>
                  </c:pt>
                  <c:pt idx="253">
                    <c:v>Март 2026</c:v>
                  </c:pt>
                  <c:pt idx="254">
                    <c:v>Март 2026</c:v>
                  </c:pt>
                  <c:pt idx="255">
                    <c:v>Март 2026</c:v>
                  </c:pt>
                  <c:pt idx="256">
                    <c:v>Март 2026</c:v>
                  </c:pt>
                  <c:pt idx="257">
                    <c:v>Март 2026</c:v>
                  </c:pt>
                  <c:pt idx="258">
                    <c:v>Март 2026</c:v>
                  </c:pt>
                  <c:pt idx="259">
                    <c:v>Март 2026</c:v>
                  </c:pt>
                  <c:pt idx="260">
                    <c:v>Март 2026</c:v>
                  </c:pt>
                  <c:pt idx="261">
                    <c:v>Март 2026</c:v>
                  </c:pt>
                  <c:pt idx="262">
                    <c:v>Март 2026</c:v>
                  </c:pt>
                  <c:pt idx="263">
                    <c:v>Март 2026</c:v>
                  </c:pt>
                  <c:pt idx="264">
                    <c:v>Март 2026</c:v>
                  </c:pt>
                  <c:pt idx="265">
                    <c:v>Март 2026</c:v>
                  </c:pt>
                  <c:pt idx="266">
                    <c:v>Март 2026</c:v>
                  </c:pt>
                  <c:pt idx="267">
                    <c:v>Март 2026</c:v>
                  </c:pt>
                  <c:pt idx="268">
                    <c:v>Март 2026</c:v>
                  </c:pt>
                  <c:pt idx="269">
                    <c:v>Март 2026</c:v>
                  </c:pt>
                  <c:pt idx="270">
                    <c:v>Март 2026</c:v>
                  </c:pt>
                  <c:pt idx="271">
                    <c:v>Март 2026</c:v>
                  </c:pt>
                  <c:pt idx="272">
                    <c:v>Март 2026</c:v>
                  </c:pt>
                  <c:pt idx="273">
                    <c:v>Апрель 2026</c:v>
                  </c:pt>
                  <c:pt idx="274">
                    <c:v>Апрель 2026</c:v>
                  </c:pt>
                  <c:pt idx="275">
                    <c:v>Апрель 2026</c:v>
                  </c:pt>
                  <c:pt idx="276">
                    <c:v>Апрель 2026</c:v>
                  </c:pt>
                  <c:pt idx="277">
                    <c:v>Апрель 2026</c:v>
                  </c:pt>
                  <c:pt idx="278">
                    <c:v>Апрель 2026</c:v>
                  </c:pt>
                  <c:pt idx="279">
                    <c:v>Апрель 2026</c:v>
                  </c:pt>
                  <c:pt idx="280">
                    <c:v>Апрель 2026</c:v>
                  </c:pt>
                  <c:pt idx="281">
                    <c:v>Апрель 2026</c:v>
                  </c:pt>
                  <c:pt idx="282">
                    <c:v>Апрель 2026</c:v>
                  </c:pt>
                  <c:pt idx="283">
                    <c:v>Апрель 2026</c:v>
                  </c:pt>
                  <c:pt idx="284">
                    <c:v>Апрель 2026</c:v>
                  </c:pt>
                  <c:pt idx="285">
                    <c:v>Апрель 2026</c:v>
                  </c:pt>
                  <c:pt idx="286">
                    <c:v>Апрель 2026</c:v>
                  </c:pt>
                  <c:pt idx="287">
                    <c:v>Апрель 2026</c:v>
                  </c:pt>
                  <c:pt idx="288">
                    <c:v>Апрель 2026</c:v>
                  </c:pt>
                  <c:pt idx="289">
                    <c:v>Апрель 2026</c:v>
                  </c:pt>
                  <c:pt idx="290">
                    <c:v>Апрель 2026</c:v>
                  </c:pt>
                  <c:pt idx="291">
                    <c:v>Апрель 2026</c:v>
                  </c:pt>
                  <c:pt idx="292">
                    <c:v>Апрель 2026</c:v>
                  </c:pt>
                  <c:pt idx="293">
                    <c:v>Апрель 2026</c:v>
                  </c:pt>
                  <c:pt idx="294">
                    <c:v>Апрель 2026</c:v>
                  </c:pt>
                  <c:pt idx="295">
                    <c:v>Апрель 2026</c:v>
                  </c:pt>
                  <c:pt idx="296">
                    <c:v>Апрель 2026</c:v>
                  </c:pt>
                  <c:pt idx="297">
                    <c:v>Апрель 2026</c:v>
                  </c:pt>
                  <c:pt idx="298">
                    <c:v>Апрель 2026</c:v>
                  </c:pt>
                  <c:pt idx="299">
                    <c:v>Апрель 2026</c:v>
                  </c:pt>
                  <c:pt idx="300">
                    <c:v>Апрель 2026</c:v>
                  </c:pt>
                  <c:pt idx="301">
                    <c:v>Апрель 2026</c:v>
                  </c:pt>
                  <c:pt idx="302">
                    <c:v>Апрель 2026</c:v>
                  </c:pt>
                </c:lvl>
                <c:lvl>
                  <c:pt idx="0">
                    <c:v>27</c:v>
                  </c:pt>
                  <c:pt idx="1">
                    <c:v>27</c:v>
                  </c:pt>
                  <c:pt idx="2">
                    <c:v>27</c:v>
                  </c:pt>
                  <c:pt idx="3">
                    <c:v>27</c:v>
                  </c:pt>
                  <c:pt idx="4">
                    <c:v>27</c:v>
                  </c:pt>
                  <c:pt idx="5">
                    <c:v>28</c:v>
                  </c:pt>
                  <c:pt idx="6">
                    <c:v>28</c:v>
                  </c:pt>
                  <c:pt idx="7">
                    <c:v>28</c:v>
                  </c:pt>
                  <c:pt idx="8">
                    <c:v>28</c:v>
                  </c:pt>
                  <c:pt idx="9">
                    <c:v>28</c:v>
                  </c:pt>
                  <c:pt idx="10">
                    <c:v>28</c:v>
                  </c:pt>
                  <c:pt idx="11">
                    <c:v>28</c:v>
                  </c:pt>
                  <c:pt idx="12">
                    <c:v>29</c:v>
                  </c:pt>
                  <c:pt idx="13">
                    <c:v>29</c:v>
                  </c:pt>
                  <c:pt idx="14">
                    <c:v>29</c:v>
                  </c:pt>
                  <c:pt idx="15">
                    <c:v>29</c:v>
                  </c:pt>
                  <c:pt idx="16">
                    <c:v>29</c:v>
                  </c:pt>
                  <c:pt idx="17">
                    <c:v>29</c:v>
                  </c:pt>
                  <c:pt idx="18">
                    <c:v>29</c:v>
                  </c:pt>
                  <c:pt idx="19">
                    <c:v>30</c:v>
                  </c:pt>
                  <c:pt idx="20">
                    <c:v>30</c:v>
                  </c:pt>
                  <c:pt idx="21">
                    <c:v>30</c:v>
                  </c:pt>
                  <c:pt idx="22">
                    <c:v>30</c:v>
                  </c:pt>
                  <c:pt idx="23">
                    <c:v>30</c:v>
                  </c:pt>
                  <c:pt idx="24">
                    <c:v>30</c:v>
                  </c:pt>
                  <c:pt idx="25">
                    <c:v>30</c:v>
                  </c:pt>
                  <c:pt idx="26">
                    <c:v>31</c:v>
                  </c:pt>
                  <c:pt idx="27">
                    <c:v>31</c:v>
                  </c:pt>
                  <c:pt idx="28">
                    <c:v>31</c:v>
                  </c:pt>
                  <c:pt idx="29">
                    <c:v>31</c:v>
                  </c:pt>
                  <c:pt idx="30">
                    <c:v>31</c:v>
                  </c:pt>
                  <c:pt idx="31">
                    <c:v>31</c:v>
                  </c:pt>
                  <c:pt idx="32">
                    <c:v>31</c:v>
                  </c:pt>
                  <c:pt idx="33">
                    <c:v>32</c:v>
                  </c:pt>
                  <c:pt idx="34">
                    <c:v>32</c:v>
                  </c:pt>
                  <c:pt idx="35">
                    <c:v>32</c:v>
                  </c:pt>
                  <c:pt idx="36">
                    <c:v>32</c:v>
                  </c:pt>
                  <c:pt idx="37">
                    <c:v>32</c:v>
                  </c:pt>
                  <c:pt idx="38">
                    <c:v>32</c:v>
                  </c:pt>
                  <c:pt idx="39">
                    <c:v>32</c:v>
                  </c:pt>
                  <c:pt idx="40">
                    <c:v>33</c:v>
                  </c:pt>
                  <c:pt idx="41">
                    <c:v>33</c:v>
                  </c:pt>
                  <c:pt idx="42">
                    <c:v>33</c:v>
                  </c:pt>
                  <c:pt idx="43">
                    <c:v>33</c:v>
                  </c:pt>
                  <c:pt idx="44">
                    <c:v>33</c:v>
                  </c:pt>
                  <c:pt idx="45">
                    <c:v>33</c:v>
                  </c:pt>
                  <c:pt idx="46">
                    <c:v>33</c:v>
                  </c:pt>
                  <c:pt idx="47">
                    <c:v>34</c:v>
                  </c:pt>
                  <c:pt idx="48">
                    <c:v>34</c:v>
                  </c:pt>
                  <c:pt idx="49">
                    <c:v>34</c:v>
                  </c:pt>
                  <c:pt idx="50">
                    <c:v>34</c:v>
                  </c:pt>
                  <c:pt idx="51">
                    <c:v>34</c:v>
                  </c:pt>
                  <c:pt idx="52">
                    <c:v>34</c:v>
                  </c:pt>
                  <c:pt idx="53">
                    <c:v>34</c:v>
                  </c:pt>
                  <c:pt idx="54">
                    <c:v>35</c:v>
                  </c:pt>
                  <c:pt idx="55">
                    <c:v>35</c:v>
                  </c:pt>
                  <c:pt idx="56">
                    <c:v>35</c:v>
                  </c:pt>
                  <c:pt idx="57">
                    <c:v>35</c:v>
                  </c:pt>
                  <c:pt idx="58">
                    <c:v>35</c:v>
                  </c:pt>
                  <c:pt idx="59">
                    <c:v>35</c:v>
                  </c:pt>
                  <c:pt idx="60">
                    <c:v>35</c:v>
                  </c:pt>
                  <c:pt idx="61">
                    <c:v>36</c:v>
                  </c:pt>
                  <c:pt idx="62">
                    <c:v>36</c:v>
                  </c:pt>
                  <c:pt idx="63">
                    <c:v>36</c:v>
                  </c:pt>
                  <c:pt idx="64">
                    <c:v>36</c:v>
                  </c:pt>
                  <c:pt idx="65">
                    <c:v>36</c:v>
                  </c:pt>
                  <c:pt idx="66">
                    <c:v>36</c:v>
                  </c:pt>
                  <c:pt idx="67">
                    <c:v>36</c:v>
                  </c:pt>
                  <c:pt idx="68">
                    <c:v>37</c:v>
                  </c:pt>
                  <c:pt idx="69">
                    <c:v>37</c:v>
                  </c:pt>
                  <c:pt idx="70">
                    <c:v>37</c:v>
                  </c:pt>
                  <c:pt idx="71">
                    <c:v>37</c:v>
                  </c:pt>
                  <c:pt idx="72">
                    <c:v>37</c:v>
                  </c:pt>
                  <c:pt idx="73">
                    <c:v>37</c:v>
                  </c:pt>
                  <c:pt idx="74">
                    <c:v>37</c:v>
                  </c:pt>
                  <c:pt idx="75">
                    <c:v>38</c:v>
                  </c:pt>
                  <c:pt idx="76">
                    <c:v>38</c:v>
                  </c:pt>
                  <c:pt idx="77">
                    <c:v>38</c:v>
                  </c:pt>
                  <c:pt idx="78">
                    <c:v>38</c:v>
                  </c:pt>
                  <c:pt idx="79">
                    <c:v>38</c:v>
                  </c:pt>
                  <c:pt idx="80">
                    <c:v>38</c:v>
                  </c:pt>
                  <c:pt idx="81">
                    <c:v>38</c:v>
                  </c:pt>
                  <c:pt idx="82">
                    <c:v>39</c:v>
                  </c:pt>
                  <c:pt idx="83">
                    <c:v>39</c:v>
                  </c:pt>
                  <c:pt idx="84">
                    <c:v>39</c:v>
                  </c:pt>
                  <c:pt idx="85">
                    <c:v>39</c:v>
                  </c:pt>
                  <c:pt idx="86">
                    <c:v>39</c:v>
                  </c:pt>
                  <c:pt idx="87">
                    <c:v>39</c:v>
                  </c:pt>
                  <c:pt idx="88">
                    <c:v>39</c:v>
                  </c:pt>
                  <c:pt idx="89">
                    <c:v>40</c:v>
                  </c:pt>
                  <c:pt idx="90">
                    <c:v>40</c:v>
                  </c:pt>
                  <c:pt idx="91">
                    <c:v>40</c:v>
                  </c:pt>
                  <c:pt idx="92">
                    <c:v>40</c:v>
                  </c:pt>
                  <c:pt idx="93">
                    <c:v>40</c:v>
                  </c:pt>
                  <c:pt idx="94">
                    <c:v>40</c:v>
                  </c:pt>
                  <c:pt idx="95">
                    <c:v>40</c:v>
                  </c:pt>
                  <c:pt idx="96">
                    <c:v>41</c:v>
                  </c:pt>
                  <c:pt idx="97">
                    <c:v>41</c:v>
                  </c:pt>
                  <c:pt idx="98">
                    <c:v>41</c:v>
                  </c:pt>
                  <c:pt idx="99">
                    <c:v>41</c:v>
                  </c:pt>
                  <c:pt idx="100">
                    <c:v>41</c:v>
                  </c:pt>
                  <c:pt idx="101">
                    <c:v>41</c:v>
                  </c:pt>
                  <c:pt idx="102">
                    <c:v>41</c:v>
                  </c:pt>
                  <c:pt idx="103">
                    <c:v>42</c:v>
                  </c:pt>
                  <c:pt idx="104">
                    <c:v>42</c:v>
                  </c:pt>
                  <c:pt idx="105">
                    <c:v>42</c:v>
                  </c:pt>
                  <c:pt idx="106">
                    <c:v>42</c:v>
                  </c:pt>
                  <c:pt idx="107">
                    <c:v>42</c:v>
                  </c:pt>
                  <c:pt idx="108">
                    <c:v>42</c:v>
                  </c:pt>
                  <c:pt idx="109">
                    <c:v>42</c:v>
                  </c:pt>
                  <c:pt idx="110">
                    <c:v>43</c:v>
                  </c:pt>
                  <c:pt idx="111">
                    <c:v>43</c:v>
                  </c:pt>
                  <c:pt idx="112">
                    <c:v>43</c:v>
                  </c:pt>
                  <c:pt idx="113">
                    <c:v>43</c:v>
                  </c:pt>
                  <c:pt idx="114">
                    <c:v>43</c:v>
                  </c:pt>
                  <c:pt idx="115">
                    <c:v>43</c:v>
                  </c:pt>
                  <c:pt idx="116">
                    <c:v>43</c:v>
                  </c:pt>
                  <c:pt idx="117">
                    <c:v>44</c:v>
                  </c:pt>
                  <c:pt idx="118">
                    <c:v>44</c:v>
                  </c:pt>
                  <c:pt idx="119">
                    <c:v>44</c:v>
                  </c:pt>
                  <c:pt idx="120">
                    <c:v>44</c:v>
                  </c:pt>
                  <c:pt idx="121">
                    <c:v>44</c:v>
                  </c:pt>
                  <c:pt idx="122">
                    <c:v>44</c:v>
                  </c:pt>
                  <c:pt idx="123">
                    <c:v>44</c:v>
                  </c:pt>
                  <c:pt idx="124">
                    <c:v>45</c:v>
                  </c:pt>
                  <c:pt idx="125">
                    <c:v>45</c:v>
                  </c:pt>
                  <c:pt idx="126">
                    <c:v>45</c:v>
                  </c:pt>
                  <c:pt idx="127">
                    <c:v>45</c:v>
                  </c:pt>
                  <c:pt idx="128">
                    <c:v>45</c:v>
                  </c:pt>
                  <c:pt idx="129">
                    <c:v>45</c:v>
                  </c:pt>
                  <c:pt idx="130">
                    <c:v>45</c:v>
                  </c:pt>
                  <c:pt idx="131">
                    <c:v>46</c:v>
                  </c:pt>
                  <c:pt idx="132">
                    <c:v>46</c:v>
                  </c:pt>
                  <c:pt idx="133">
                    <c:v>46</c:v>
                  </c:pt>
                  <c:pt idx="134">
                    <c:v>46</c:v>
                  </c:pt>
                  <c:pt idx="135">
                    <c:v>46</c:v>
                  </c:pt>
                  <c:pt idx="136">
                    <c:v>46</c:v>
                  </c:pt>
                  <c:pt idx="137">
                    <c:v>46</c:v>
                  </c:pt>
                  <c:pt idx="138">
                    <c:v>47</c:v>
                  </c:pt>
                  <c:pt idx="139">
                    <c:v>47</c:v>
                  </c:pt>
                  <c:pt idx="140">
                    <c:v>47</c:v>
                  </c:pt>
                  <c:pt idx="141">
                    <c:v>47</c:v>
                  </c:pt>
                  <c:pt idx="142">
                    <c:v>47</c:v>
                  </c:pt>
                  <c:pt idx="143">
                    <c:v>47</c:v>
                  </c:pt>
                  <c:pt idx="144">
                    <c:v>47</c:v>
                  </c:pt>
                  <c:pt idx="145">
                    <c:v>48</c:v>
                  </c:pt>
                  <c:pt idx="146">
                    <c:v>48</c:v>
                  </c:pt>
                  <c:pt idx="147">
                    <c:v>48</c:v>
                  </c:pt>
                  <c:pt idx="148">
                    <c:v>48</c:v>
                  </c:pt>
                  <c:pt idx="149">
                    <c:v>48</c:v>
                  </c:pt>
                  <c:pt idx="150">
                    <c:v>48</c:v>
                  </c:pt>
                  <c:pt idx="151">
                    <c:v>48</c:v>
                  </c:pt>
                  <c:pt idx="152">
                    <c:v>49</c:v>
                  </c:pt>
                  <c:pt idx="153">
                    <c:v>49</c:v>
                  </c:pt>
                  <c:pt idx="154">
                    <c:v>49</c:v>
                  </c:pt>
                  <c:pt idx="155">
                    <c:v>49</c:v>
                  </c:pt>
                  <c:pt idx="156">
                    <c:v>49</c:v>
                  </c:pt>
                  <c:pt idx="157">
                    <c:v>49</c:v>
                  </c:pt>
                  <c:pt idx="158">
                    <c:v>49</c:v>
                  </c:pt>
                  <c:pt idx="159">
                    <c:v>50</c:v>
                  </c:pt>
                  <c:pt idx="160">
                    <c:v>50</c:v>
                  </c:pt>
                  <c:pt idx="161">
                    <c:v>50</c:v>
                  </c:pt>
                  <c:pt idx="162">
                    <c:v>50</c:v>
                  </c:pt>
                  <c:pt idx="163">
                    <c:v>50</c:v>
                  </c:pt>
                  <c:pt idx="164">
                    <c:v>50</c:v>
                  </c:pt>
                  <c:pt idx="165">
                    <c:v>50</c:v>
                  </c:pt>
                  <c:pt idx="166">
                    <c:v>51</c:v>
                  </c:pt>
                  <c:pt idx="167">
                    <c:v>51</c:v>
                  </c:pt>
                  <c:pt idx="168">
                    <c:v>51</c:v>
                  </c:pt>
                  <c:pt idx="169">
                    <c:v>51</c:v>
                  </c:pt>
                  <c:pt idx="170">
                    <c:v>51</c:v>
                  </c:pt>
                  <c:pt idx="171">
                    <c:v>51</c:v>
                  </c:pt>
                  <c:pt idx="172">
                    <c:v>51</c:v>
                  </c:pt>
                  <c:pt idx="173">
                    <c:v>52</c:v>
                  </c:pt>
                  <c:pt idx="174">
                    <c:v>52</c:v>
                  </c:pt>
                  <c:pt idx="175">
                    <c:v>52</c:v>
                  </c:pt>
                  <c:pt idx="176">
                    <c:v>52</c:v>
                  </c:pt>
                  <c:pt idx="177">
                    <c:v>52</c:v>
                  </c:pt>
                  <c:pt idx="178">
                    <c:v>52</c:v>
                  </c:pt>
                  <c:pt idx="179">
                    <c:v>52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1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2</c:v>
                  </c:pt>
                  <c:pt idx="188">
                    <c:v>2</c:v>
                  </c:pt>
                  <c:pt idx="189">
                    <c:v>2</c:v>
                  </c:pt>
                  <c:pt idx="190">
                    <c:v>2</c:v>
                  </c:pt>
                  <c:pt idx="191">
                    <c:v>2</c:v>
                  </c:pt>
                  <c:pt idx="192">
                    <c:v>2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3</c:v>
                  </c:pt>
                  <c:pt idx="196">
                    <c:v>3</c:v>
                  </c:pt>
                  <c:pt idx="197">
                    <c:v>3</c:v>
                  </c:pt>
                  <c:pt idx="198">
                    <c:v>3</c:v>
                  </c:pt>
                  <c:pt idx="199">
                    <c:v>3</c:v>
                  </c:pt>
                  <c:pt idx="200">
                    <c:v>3</c:v>
                  </c:pt>
                  <c:pt idx="201">
                    <c:v>4</c:v>
                  </c:pt>
                  <c:pt idx="202">
                    <c:v>4</c:v>
                  </c:pt>
                  <c:pt idx="203">
                    <c:v>4</c:v>
                  </c:pt>
                  <c:pt idx="204">
                    <c:v>4</c:v>
                  </c:pt>
                  <c:pt idx="205">
                    <c:v>4</c:v>
                  </c:pt>
                  <c:pt idx="206">
                    <c:v>4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5</c:v>
                  </c:pt>
                  <c:pt idx="210">
                    <c:v>5</c:v>
                  </c:pt>
                  <c:pt idx="211">
                    <c:v>5</c:v>
                  </c:pt>
                  <c:pt idx="212">
                    <c:v>5</c:v>
                  </c:pt>
                  <c:pt idx="213">
                    <c:v>5</c:v>
                  </c:pt>
                  <c:pt idx="214">
                    <c:v>5</c:v>
                  </c:pt>
                  <c:pt idx="215">
                    <c:v>6</c:v>
                  </c:pt>
                  <c:pt idx="216">
                    <c:v>6</c:v>
                  </c:pt>
                  <c:pt idx="217">
                    <c:v>6</c:v>
                  </c:pt>
                  <c:pt idx="218">
                    <c:v>6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7</c:v>
                  </c:pt>
                  <c:pt idx="224">
                    <c:v>7</c:v>
                  </c:pt>
                  <c:pt idx="225">
                    <c:v>7</c:v>
                  </c:pt>
                  <c:pt idx="226">
                    <c:v>7</c:v>
                  </c:pt>
                  <c:pt idx="227">
                    <c:v>7</c:v>
                  </c:pt>
                  <c:pt idx="228">
                    <c:v>7</c:v>
                  </c:pt>
                  <c:pt idx="229">
                    <c:v>8</c:v>
                  </c:pt>
                  <c:pt idx="230">
                    <c:v>8</c:v>
                  </c:pt>
                  <c:pt idx="231">
                    <c:v>8</c:v>
                  </c:pt>
                  <c:pt idx="232">
                    <c:v>8</c:v>
                  </c:pt>
                  <c:pt idx="233">
                    <c:v>8</c:v>
                  </c:pt>
                  <c:pt idx="234">
                    <c:v>8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9</c:v>
                  </c:pt>
                  <c:pt idx="238">
                    <c:v>9</c:v>
                  </c:pt>
                  <c:pt idx="239">
                    <c:v>9</c:v>
                  </c:pt>
                  <c:pt idx="240">
                    <c:v>9</c:v>
                  </c:pt>
                  <c:pt idx="241">
                    <c:v>9</c:v>
                  </c:pt>
                  <c:pt idx="242">
                    <c:v>9</c:v>
                  </c:pt>
                  <c:pt idx="243">
                    <c:v>10</c:v>
                  </c:pt>
                  <c:pt idx="244">
                    <c:v>10</c:v>
                  </c:pt>
                  <c:pt idx="245">
                    <c:v>10</c:v>
                  </c:pt>
                  <c:pt idx="246">
                    <c:v>10</c:v>
                  </c:pt>
                  <c:pt idx="247">
                    <c:v>10</c:v>
                  </c:pt>
                  <c:pt idx="248">
                    <c:v>10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11</c:v>
                  </c:pt>
                  <c:pt idx="252">
                    <c:v>11</c:v>
                  </c:pt>
                  <c:pt idx="253">
                    <c:v>11</c:v>
                  </c:pt>
                  <c:pt idx="254">
                    <c:v>11</c:v>
                  </c:pt>
                  <c:pt idx="255">
                    <c:v>11</c:v>
                  </c:pt>
                  <c:pt idx="256">
                    <c:v>11</c:v>
                  </c:pt>
                  <c:pt idx="257">
                    <c:v>12</c:v>
                  </c:pt>
                  <c:pt idx="258">
                    <c:v>12</c:v>
                  </c:pt>
                  <c:pt idx="259">
                    <c:v>12</c:v>
                  </c:pt>
                  <c:pt idx="260">
                    <c:v>12</c:v>
                  </c:pt>
                  <c:pt idx="261">
                    <c:v>12</c:v>
                  </c:pt>
                  <c:pt idx="262">
                    <c:v>12</c:v>
                  </c:pt>
                  <c:pt idx="263">
                    <c:v>12</c:v>
                  </c:pt>
                  <c:pt idx="264">
                    <c:v>13</c:v>
                  </c:pt>
                  <c:pt idx="265">
                    <c:v>13</c:v>
                  </c:pt>
                  <c:pt idx="266">
                    <c:v>13</c:v>
                  </c:pt>
                  <c:pt idx="267">
                    <c:v>13</c:v>
                  </c:pt>
                  <c:pt idx="268">
                    <c:v>13</c:v>
                  </c:pt>
                  <c:pt idx="269">
                    <c:v>13</c:v>
                  </c:pt>
                  <c:pt idx="270">
                    <c:v>13</c:v>
                  </c:pt>
                  <c:pt idx="271">
                    <c:v>14</c:v>
                  </c:pt>
                  <c:pt idx="272">
                    <c:v>14</c:v>
                  </c:pt>
                  <c:pt idx="273">
                    <c:v>14</c:v>
                  </c:pt>
                  <c:pt idx="274">
                    <c:v>14</c:v>
                  </c:pt>
                  <c:pt idx="275">
                    <c:v>14</c:v>
                  </c:pt>
                  <c:pt idx="276">
                    <c:v>14</c:v>
                  </c:pt>
                  <c:pt idx="277">
                    <c:v>14</c:v>
                  </c:pt>
                  <c:pt idx="278">
                    <c:v>15</c:v>
                  </c:pt>
                  <c:pt idx="279">
                    <c:v>15</c:v>
                  </c:pt>
                  <c:pt idx="280">
                    <c:v>15</c:v>
                  </c:pt>
                  <c:pt idx="281">
                    <c:v>15</c:v>
                  </c:pt>
                  <c:pt idx="282">
                    <c:v>15</c:v>
                  </c:pt>
                  <c:pt idx="283">
                    <c:v>15</c:v>
                  </c:pt>
                  <c:pt idx="284">
                    <c:v>15</c:v>
                  </c:pt>
                  <c:pt idx="285">
                    <c:v>16</c:v>
                  </c:pt>
                  <c:pt idx="286">
                    <c:v>16</c:v>
                  </c:pt>
                  <c:pt idx="287">
                    <c:v>16</c:v>
                  </c:pt>
                  <c:pt idx="288">
                    <c:v>16</c:v>
                  </c:pt>
                  <c:pt idx="289">
                    <c:v>16</c:v>
                  </c:pt>
                  <c:pt idx="290">
                    <c:v>16</c:v>
                  </c:pt>
                  <c:pt idx="291">
                    <c:v>16</c:v>
                  </c:pt>
                  <c:pt idx="292">
                    <c:v>17</c:v>
                  </c:pt>
                  <c:pt idx="293">
                    <c:v>17</c:v>
                  </c:pt>
                  <c:pt idx="294">
                    <c:v>17</c:v>
                  </c:pt>
                  <c:pt idx="295">
                    <c:v>17</c:v>
                  </c:pt>
                  <c:pt idx="296">
                    <c:v>17</c:v>
                  </c:pt>
                  <c:pt idx="297">
                    <c:v>17</c:v>
                  </c:pt>
                  <c:pt idx="298">
                    <c:v>17</c:v>
                  </c:pt>
                  <c:pt idx="299">
                    <c:v>18</c:v>
                  </c:pt>
                  <c:pt idx="300">
                    <c:v>18</c:v>
                  </c:pt>
                  <c:pt idx="301">
                    <c:v>18</c:v>
                  </c:pt>
                  <c:pt idx="302">
                    <c:v>18</c:v>
                  </c:pt>
                </c:lvl>
                <c:lvl>
                  <c:pt idx="0">
                    <c:v>7</c:v>
                  </c:pt>
                  <c:pt idx="1">
                    <c:v>7</c:v>
                  </c:pt>
                  <c:pt idx="2">
                    <c:v>7</c:v>
                  </c:pt>
                  <c:pt idx="3">
                    <c:v>7</c:v>
                  </c:pt>
                  <c:pt idx="4">
                    <c:v>7</c:v>
                  </c:pt>
                  <c:pt idx="5">
                    <c:v>7</c:v>
                  </c:pt>
                  <c:pt idx="6">
                    <c:v>7</c:v>
                  </c:pt>
                  <c:pt idx="7">
                    <c:v>7</c:v>
                  </c:pt>
                  <c:pt idx="8">
                    <c:v>7</c:v>
                  </c:pt>
                  <c:pt idx="9">
                    <c:v>7</c:v>
                  </c:pt>
                  <c:pt idx="10">
                    <c:v>7</c:v>
                  </c:pt>
                  <c:pt idx="11">
                    <c:v>7</c:v>
                  </c:pt>
                  <c:pt idx="12">
                    <c:v>7</c:v>
                  </c:pt>
                  <c:pt idx="13">
                    <c:v>7</c:v>
                  </c:pt>
                  <c:pt idx="14">
                    <c:v>7</c:v>
                  </c:pt>
                  <c:pt idx="15">
                    <c:v>7</c:v>
                  </c:pt>
                  <c:pt idx="16">
                    <c:v>7</c:v>
                  </c:pt>
                  <c:pt idx="17">
                    <c:v>7</c:v>
                  </c:pt>
                  <c:pt idx="18">
                    <c:v>7</c:v>
                  </c:pt>
                  <c:pt idx="19">
                    <c:v>7</c:v>
                  </c:pt>
                  <c:pt idx="20">
                    <c:v>7</c:v>
                  </c:pt>
                  <c:pt idx="21">
                    <c:v>7</c:v>
                  </c:pt>
                  <c:pt idx="22">
                    <c:v>7</c:v>
                  </c:pt>
                  <c:pt idx="23">
                    <c:v>7</c:v>
                  </c:pt>
                  <c:pt idx="24">
                    <c:v>7</c:v>
                  </c:pt>
                  <c:pt idx="25">
                    <c:v>7</c:v>
                  </c:pt>
                  <c:pt idx="26">
                    <c:v>7</c:v>
                  </c:pt>
                  <c:pt idx="27">
                    <c:v>7</c:v>
                  </c:pt>
                  <c:pt idx="28">
                    <c:v>7</c:v>
                  </c:pt>
                  <c:pt idx="29">
                    <c:v>7</c:v>
                  </c:pt>
                  <c:pt idx="30">
                    <c:v>8</c:v>
                  </c:pt>
                  <c:pt idx="31">
                    <c:v>8</c:v>
                  </c:pt>
                  <c:pt idx="32">
                    <c:v>8</c:v>
                  </c:pt>
                  <c:pt idx="33">
                    <c:v>8</c:v>
                  </c:pt>
                  <c:pt idx="34">
                    <c:v>8</c:v>
                  </c:pt>
                  <c:pt idx="35">
                    <c:v>8</c:v>
                  </c:pt>
                  <c:pt idx="36">
                    <c:v>8</c:v>
                  </c:pt>
                  <c:pt idx="37">
                    <c:v>8</c:v>
                  </c:pt>
                  <c:pt idx="38">
                    <c:v>8</c:v>
                  </c:pt>
                  <c:pt idx="39">
                    <c:v>8</c:v>
                  </c:pt>
                  <c:pt idx="40">
                    <c:v>8</c:v>
                  </c:pt>
                  <c:pt idx="41">
                    <c:v>8</c:v>
                  </c:pt>
                  <c:pt idx="42">
                    <c:v>8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8</c:v>
                  </c:pt>
                  <c:pt idx="47">
                    <c:v>8</c:v>
                  </c:pt>
                  <c:pt idx="48">
                    <c:v>8</c:v>
                  </c:pt>
                  <c:pt idx="49">
                    <c:v>8</c:v>
                  </c:pt>
                  <c:pt idx="50">
                    <c:v>8</c:v>
                  </c:pt>
                  <c:pt idx="51">
                    <c:v>8</c:v>
                  </c:pt>
                  <c:pt idx="52">
                    <c:v>8</c:v>
                  </c:pt>
                  <c:pt idx="53">
                    <c:v>8</c:v>
                  </c:pt>
                  <c:pt idx="54">
                    <c:v>8</c:v>
                  </c:pt>
                  <c:pt idx="55">
                    <c:v>8</c:v>
                  </c:pt>
                  <c:pt idx="56">
                    <c:v>8</c:v>
                  </c:pt>
                  <c:pt idx="57">
                    <c:v>8</c:v>
                  </c:pt>
                  <c:pt idx="58">
                    <c:v>8</c:v>
                  </c:pt>
                  <c:pt idx="59">
                    <c:v>8</c:v>
                  </c:pt>
                  <c:pt idx="60">
                    <c:v>8</c:v>
                  </c:pt>
                  <c:pt idx="61">
                    <c:v>9</c:v>
                  </c:pt>
                  <c:pt idx="62">
                    <c:v>9</c:v>
                  </c:pt>
                  <c:pt idx="63">
                    <c:v>9</c:v>
                  </c:pt>
                  <c:pt idx="64">
                    <c:v>9</c:v>
                  </c:pt>
                  <c:pt idx="65">
                    <c:v>9</c:v>
                  </c:pt>
                  <c:pt idx="66">
                    <c:v>9</c:v>
                  </c:pt>
                  <c:pt idx="67">
                    <c:v>9</c:v>
                  </c:pt>
                  <c:pt idx="68">
                    <c:v>9</c:v>
                  </c:pt>
                  <c:pt idx="69">
                    <c:v>9</c:v>
                  </c:pt>
                  <c:pt idx="70">
                    <c:v>9</c:v>
                  </c:pt>
                  <c:pt idx="71">
                    <c:v>9</c:v>
                  </c:pt>
                  <c:pt idx="72">
                    <c:v>9</c:v>
                  </c:pt>
                  <c:pt idx="73">
                    <c:v>9</c:v>
                  </c:pt>
                  <c:pt idx="74">
                    <c:v>9</c:v>
                  </c:pt>
                  <c:pt idx="75">
                    <c:v>9</c:v>
                  </c:pt>
                  <c:pt idx="76">
                    <c:v>9</c:v>
                  </c:pt>
                  <c:pt idx="77">
                    <c:v>9</c:v>
                  </c:pt>
                  <c:pt idx="78">
                    <c:v>9</c:v>
                  </c:pt>
                  <c:pt idx="79">
                    <c:v>9</c:v>
                  </c:pt>
                  <c:pt idx="80">
                    <c:v>9</c:v>
                  </c:pt>
                  <c:pt idx="81">
                    <c:v>9</c:v>
                  </c:pt>
                  <c:pt idx="82">
                    <c:v>9</c:v>
                  </c:pt>
                  <c:pt idx="83">
                    <c:v>9</c:v>
                  </c:pt>
                  <c:pt idx="84">
                    <c:v>9</c:v>
                  </c:pt>
                  <c:pt idx="85">
                    <c:v>9</c:v>
                  </c:pt>
                  <c:pt idx="86">
                    <c:v>9</c:v>
                  </c:pt>
                  <c:pt idx="87">
                    <c:v>9</c:v>
                  </c:pt>
                  <c:pt idx="88">
                    <c:v>9</c:v>
                  </c:pt>
                  <c:pt idx="89">
                    <c:v>9</c:v>
                  </c:pt>
                  <c:pt idx="90">
                    <c:v>9</c:v>
                  </c:pt>
                  <c:pt idx="91">
                    <c:v>10</c:v>
                  </c:pt>
                  <c:pt idx="92">
                    <c:v>10</c:v>
                  </c:pt>
                  <c:pt idx="93">
                    <c:v>10</c:v>
                  </c:pt>
                  <c:pt idx="94">
                    <c:v>10</c:v>
                  </c:pt>
                  <c:pt idx="95">
                    <c:v>10</c:v>
                  </c:pt>
                  <c:pt idx="96">
                    <c:v>10</c:v>
                  </c:pt>
                  <c:pt idx="97">
                    <c:v>10</c:v>
                  </c:pt>
                  <c:pt idx="98">
                    <c:v>10</c:v>
                  </c:pt>
                  <c:pt idx="99">
                    <c:v>10</c:v>
                  </c:pt>
                  <c:pt idx="100">
                    <c:v>10</c:v>
                  </c:pt>
                  <c:pt idx="101">
                    <c:v>10</c:v>
                  </c:pt>
                  <c:pt idx="102">
                    <c:v>10</c:v>
                  </c:pt>
                  <c:pt idx="103">
                    <c:v>10</c:v>
                  </c:pt>
                  <c:pt idx="104">
                    <c:v>10</c:v>
                  </c:pt>
                  <c:pt idx="105">
                    <c:v>10</c:v>
                  </c:pt>
                  <c:pt idx="106">
                    <c:v>10</c:v>
                  </c:pt>
                  <c:pt idx="107">
                    <c:v>10</c:v>
                  </c:pt>
                  <c:pt idx="108">
                    <c:v>10</c:v>
                  </c:pt>
                  <c:pt idx="109">
                    <c:v>10</c:v>
                  </c:pt>
                  <c:pt idx="110">
                    <c:v>10</c:v>
                  </c:pt>
                  <c:pt idx="111">
                    <c:v>10</c:v>
                  </c:pt>
                  <c:pt idx="112">
                    <c:v>10</c:v>
                  </c:pt>
                  <c:pt idx="113">
                    <c:v>10</c:v>
                  </c:pt>
                  <c:pt idx="114">
                    <c:v>10</c:v>
                  </c:pt>
                  <c:pt idx="115">
                    <c:v>10</c:v>
                  </c:pt>
                  <c:pt idx="116">
                    <c:v>10</c:v>
                  </c:pt>
                  <c:pt idx="117">
                    <c:v>10</c:v>
                  </c:pt>
                  <c:pt idx="118">
                    <c:v>10</c:v>
                  </c:pt>
                  <c:pt idx="119">
                    <c:v>10</c:v>
                  </c:pt>
                  <c:pt idx="120">
                    <c:v>10</c:v>
                  </c:pt>
                  <c:pt idx="121">
                    <c:v>10</c:v>
                  </c:pt>
                  <c:pt idx="122">
                    <c:v>11</c:v>
                  </c:pt>
                  <c:pt idx="123">
                    <c:v>11</c:v>
                  </c:pt>
                  <c:pt idx="124">
                    <c:v>11</c:v>
                  </c:pt>
                  <c:pt idx="125">
                    <c:v>11</c:v>
                  </c:pt>
                  <c:pt idx="126">
                    <c:v>11</c:v>
                  </c:pt>
                  <c:pt idx="127">
                    <c:v>11</c:v>
                  </c:pt>
                  <c:pt idx="128">
                    <c:v>11</c:v>
                  </c:pt>
                  <c:pt idx="129">
                    <c:v>11</c:v>
                  </c:pt>
                  <c:pt idx="130">
                    <c:v>11</c:v>
                  </c:pt>
                  <c:pt idx="131">
                    <c:v>11</c:v>
                  </c:pt>
                  <c:pt idx="132">
                    <c:v>11</c:v>
                  </c:pt>
                  <c:pt idx="133">
                    <c:v>11</c:v>
                  </c:pt>
                  <c:pt idx="134">
                    <c:v>11</c:v>
                  </c:pt>
                  <c:pt idx="135">
                    <c:v>11</c:v>
                  </c:pt>
                  <c:pt idx="136">
                    <c:v>11</c:v>
                  </c:pt>
                  <c:pt idx="137">
                    <c:v>11</c:v>
                  </c:pt>
                  <c:pt idx="138">
                    <c:v>11</c:v>
                  </c:pt>
                  <c:pt idx="139">
                    <c:v>11</c:v>
                  </c:pt>
                  <c:pt idx="140">
                    <c:v>11</c:v>
                  </c:pt>
                  <c:pt idx="141">
                    <c:v>11</c:v>
                  </c:pt>
                  <c:pt idx="142">
                    <c:v>11</c:v>
                  </c:pt>
                  <c:pt idx="143">
                    <c:v>11</c:v>
                  </c:pt>
                  <c:pt idx="144">
                    <c:v>11</c:v>
                  </c:pt>
                  <c:pt idx="145">
                    <c:v>11</c:v>
                  </c:pt>
                  <c:pt idx="146">
                    <c:v>11</c:v>
                  </c:pt>
                  <c:pt idx="147">
                    <c:v>11</c:v>
                  </c:pt>
                  <c:pt idx="148">
                    <c:v>11</c:v>
                  </c:pt>
                  <c:pt idx="149">
                    <c:v>11</c:v>
                  </c:pt>
                  <c:pt idx="150">
                    <c:v>11</c:v>
                  </c:pt>
                  <c:pt idx="151">
                    <c:v>11</c:v>
                  </c:pt>
                  <c:pt idx="152">
                    <c:v>12</c:v>
                  </c:pt>
                  <c:pt idx="153">
                    <c:v>12</c:v>
                  </c:pt>
                  <c:pt idx="154">
                    <c:v>12</c:v>
                  </c:pt>
                  <c:pt idx="155">
                    <c:v>12</c:v>
                  </c:pt>
                  <c:pt idx="156">
                    <c:v>12</c:v>
                  </c:pt>
                  <c:pt idx="157">
                    <c:v>12</c:v>
                  </c:pt>
                  <c:pt idx="158">
                    <c:v>12</c:v>
                  </c:pt>
                  <c:pt idx="159">
                    <c:v>12</c:v>
                  </c:pt>
                  <c:pt idx="160">
                    <c:v>12</c:v>
                  </c:pt>
                  <c:pt idx="161">
                    <c:v>12</c:v>
                  </c:pt>
                  <c:pt idx="162">
                    <c:v>12</c:v>
                  </c:pt>
                  <c:pt idx="163">
                    <c:v>12</c:v>
                  </c:pt>
                  <c:pt idx="164">
                    <c:v>12</c:v>
                  </c:pt>
                  <c:pt idx="165">
                    <c:v>12</c:v>
                  </c:pt>
                  <c:pt idx="166">
                    <c:v>12</c:v>
                  </c:pt>
                  <c:pt idx="167">
                    <c:v>12</c:v>
                  </c:pt>
                  <c:pt idx="168">
                    <c:v>12</c:v>
                  </c:pt>
                  <c:pt idx="169">
                    <c:v>12</c:v>
                  </c:pt>
                  <c:pt idx="170">
                    <c:v>12</c:v>
                  </c:pt>
                  <c:pt idx="171">
                    <c:v>12</c:v>
                  </c:pt>
                  <c:pt idx="172">
                    <c:v>12</c:v>
                  </c:pt>
                  <c:pt idx="173">
                    <c:v>12</c:v>
                  </c:pt>
                  <c:pt idx="174">
                    <c:v>12</c:v>
                  </c:pt>
                  <c:pt idx="175">
                    <c:v>12</c:v>
                  </c:pt>
                  <c:pt idx="176">
                    <c:v>12</c:v>
                  </c:pt>
                  <c:pt idx="177">
                    <c:v>12</c:v>
                  </c:pt>
                  <c:pt idx="178">
                    <c:v>12</c:v>
                  </c:pt>
                  <c:pt idx="179">
                    <c:v>12</c:v>
                  </c:pt>
                  <c:pt idx="180">
                    <c:v>12</c:v>
                  </c:pt>
                  <c:pt idx="181">
                    <c:v>12</c:v>
                  </c:pt>
                  <c:pt idx="182">
                    <c:v>12</c:v>
                  </c:pt>
                  <c:pt idx="183">
                    <c:v>1</c:v>
                  </c:pt>
                  <c:pt idx="184">
                    <c:v>1</c:v>
                  </c:pt>
                  <c:pt idx="185">
                    <c:v>1</c:v>
                  </c:pt>
                  <c:pt idx="186">
                    <c:v>1</c:v>
                  </c:pt>
                  <c:pt idx="187">
                    <c:v>1</c:v>
                  </c:pt>
                  <c:pt idx="188">
                    <c:v>1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1</c:v>
                  </c:pt>
                  <c:pt idx="193">
                    <c:v>1</c:v>
                  </c:pt>
                  <c:pt idx="194">
                    <c:v>1</c:v>
                  </c:pt>
                  <c:pt idx="195">
                    <c:v>1</c:v>
                  </c:pt>
                  <c:pt idx="196">
                    <c:v>1</c:v>
                  </c:pt>
                  <c:pt idx="197">
                    <c:v>1</c:v>
                  </c:pt>
                  <c:pt idx="198">
                    <c:v>1</c:v>
                  </c:pt>
                  <c:pt idx="199">
                    <c:v>1</c:v>
                  </c:pt>
                  <c:pt idx="200">
                    <c:v>1</c:v>
                  </c:pt>
                  <c:pt idx="201">
                    <c:v>1</c:v>
                  </c:pt>
                  <c:pt idx="202">
                    <c:v>1</c:v>
                  </c:pt>
                  <c:pt idx="203">
                    <c:v>1</c:v>
                  </c:pt>
                  <c:pt idx="204">
                    <c:v>1</c:v>
                  </c:pt>
                  <c:pt idx="205">
                    <c:v>1</c:v>
                  </c:pt>
                  <c:pt idx="206">
                    <c:v>1</c:v>
                  </c:pt>
                  <c:pt idx="207">
                    <c:v>1</c:v>
                  </c:pt>
                  <c:pt idx="208">
                    <c:v>1</c:v>
                  </c:pt>
                  <c:pt idx="209">
                    <c:v>1</c:v>
                  </c:pt>
                  <c:pt idx="210">
                    <c:v>1</c:v>
                  </c:pt>
                  <c:pt idx="211">
                    <c:v>1</c:v>
                  </c:pt>
                  <c:pt idx="212">
                    <c:v>1</c:v>
                  </c:pt>
                  <c:pt idx="213">
                    <c:v>1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2</c:v>
                  </c:pt>
                  <c:pt idx="218">
                    <c:v>2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2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2</c:v>
                  </c:pt>
                  <c:pt idx="226">
                    <c:v>2</c:v>
                  </c:pt>
                  <c:pt idx="227">
                    <c:v>2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2</c:v>
                  </c:pt>
                  <c:pt idx="231">
                    <c:v>2</c:v>
                  </c:pt>
                  <c:pt idx="232">
                    <c:v>2</c:v>
                  </c:pt>
                  <c:pt idx="233">
                    <c:v>2</c:v>
                  </c:pt>
                  <c:pt idx="234">
                    <c:v>2</c:v>
                  </c:pt>
                  <c:pt idx="235">
                    <c:v>2</c:v>
                  </c:pt>
                  <c:pt idx="236">
                    <c:v>2</c:v>
                  </c:pt>
                  <c:pt idx="237">
                    <c:v>2</c:v>
                  </c:pt>
                  <c:pt idx="238">
                    <c:v>2</c:v>
                  </c:pt>
                  <c:pt idx="239">
                    <c:v>2</c:v>
                  </c:pt>
                  <c:pt idx="240">
                    <c:v>2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3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3</c:v>
                  </c:pt>
                  <c:pt idx="248">
                    <c:v>3</c:v>
                  </c:pt>
                  <c:pt idx="249">
                    <c:v>3</c:v>
                  </c:pt>
                  <c:pt idx="250">
                    <c:v>3</c:v>
                  </c:pt>
                  <c:pt idx="251">
                    <c:v>3</c:v>
                  </c:pt>
                  <c:pt idx="252">
                    <c:v>3</c:v>
                  </c:pt>
                  <c:pt idx="253">
                    <c:v>3</c:v>
                  </c:pt>
                  <c:pt idx="254">
                    <c:v>3</c:v>
                  </c:pt>
                  <c:pt idx="255">
                    <c:v>3</c:v>
                  </c:pt>
                  <c:pt idx="256">
                    <c:v>3</c:v>
                  </c:pt>
                  <c:pt idx="257">
                    <c:v>3</c:v>
                  </c:pt>
                  <c:pt idx="258">
                    <c:v>3</c:v>
                  </c:pt>
                  <c:pt idx="259">
                    <c:v>3</c:v>
                  </c:pt>
                  <c:pt idx="260">
                    <c:v>3</c:v>
                  </c:pt>
                  <c:pt idx="261">
                    <c:v>3</c:v>
                  </c:pt>
                  <c:pt idx="262">
                    <c:v>3</c:v>
                  </c:pt>
                  <c:pt idx="263">
                    <c:v>3</c:v>
                  </c:pt>
                  <c:pt idx="264">
                    <c:v>3</c:v>
                  </c:pt>
                  <c:pt idx="265">
                    <c:v>3</c:v>
                  </c:pt>
                  <c:pt idx="266">
                    <c:v>3</c:v>
                  </c:pt>
                  <c:pt idx="267">
                    <c:v>3</c:v>
                  </c:pt>
                  <c:pt idx="268">
                    <c:v>3</c:v>
                  </c:pt>
                  <c:pt idx="269">
                    <c:v>3</c:v>
                  </c:pt>
                  <c:pt idx="270">
                    <c:v>3</c:v>
                  </c:pt>
                  <c:pt idx="271">
                    <c:v>3</c:v>
                  </c:pt>
                  <c:pt idx="272">
                    <c:v>3</c:v>
                  </c:pt>
                  <c:pt idx="273">
                    <c:v>4</c:v>
                  </c:pt>
                  <c:pt idx="274">
                    <c:v>4</c:v>
                  </c:pt>
                  <c:pt idx="275">
                    <c:v>4</c:v>
                  </c:pt>
                  <c:pt idx="276">
                    <c:v>4</c:v>
                  </c:pt>
                  <c:pt idx="277">
                    <c:v>4</c:v>
                  </c:pt>
                  <c:pt idx="278">
                    <c:v>4</c:v>
                  </c:pt>
                  <c:pt idx="279">
                    <c:v>4</c:v>
                  </c:pt>
                  <c:pt idx="280">
                    <c:v>4</c:v>
                  </c:pt>
                  <c:pt idx="281">
                    <c:v>4</c:v>
                  </c:pt>
                  <c:pt idx="282">
                    <c:v>4</c:v>
                  </c:pt>
                  <c:pt idx="283">
                    <c:v>4</c:v>
                  </c:pt>
                  <c:pt idx="284">
                    <c:v>4</c:v>
                  </c:pt>
                  <c:pt idx="285">
                    <c:v>4</c:v>
                  </c:pt>
                  <c:pt idx="286">
                    <c:v>4</c:v>
                  </c:pt>
                  <c:pt idx="287">
                    <c:v>4</c:v>
                  </c:pt>
                  <c:pt idx="288">
                    <c:v>4</c:v>
                  </c:pt>
                  <c:pt idx="289">
                    <c:v>4</c:v>
                  </c:pt>
                  <c:pt idx="290">
                    <c:v>4</c:v>
                  </c:pt>
                  <c:pt idx="291">
                    <c:v>4</c:v>
                  </c:pt>
                  <c:pt idx="292">
                    <c:v>4</c:v>
                  </c:pt>
                  <c:pt idx="293">
                    <c:v>4</c:v>
                  </c:pt>
                  <c:pt idx="294">
                    <c:v>4</c:v>
                  </c:pt>
                  <c:pt idx="295">
                    <c:v>4</c:v>
                  </c:pt>
                  <c:pt idx="296">
                    <c:v>4</c:v>
                  </c:pt>
                  <c:pt idx="297">
                    <c:v>4</c:v>
                  </c:pt>
                  <c:pt idx="298">
                    <c:v>4</c:v>
                  </c:pt>
                  <c:pt idx="299">
                    <c:v>4</c:v>
                  </c:pt>
                  <c:pt idx="300">
                    <c:v>4</c:v>
                  </c:pt>
                  <c:pt idx="301">
                    <c:v>4</c:v>
                  </c:pt>
                  <c:pt idx="302">
                    <c:v>4</c:v>
                  </c:pt>
                </c:lvl>
              </c:multiLvlStrCache>
            </c:multiLvlStrRef>
          </c:cat>
          <c:val>
            <c:numRef>
              <c:f>report!$F$2:$F$304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0F-4F69-BD76-E1932784B55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44784"/>
        <c:axId val="465438128"/>
      </c:lineChart>
      <c:catAx>
        <c:axId val="46544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6543812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46543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6544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2400">
          <a:solidFill>
            <a:schemeClr val="bg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401281012968356E-2"/>
          <c:y val="1.8288411086947905E-2"/>
          <c:w val="0.91394380359346794"/>
          <c:h val="0.70609495057073746"/>
        </c:manualLayout>
      </c:layout>
      <c:lineChart>
        <c:grouping val="standard"/>
        <c:varyColors val="0"/>
        <c:ser>
          <c:idx val="0"/>
          <c:order val="0"/>
          <c:tx>
            <c:strRef>
              <c:f>report!$G$1</c:f>
              <c:strCache>
                <c:ptCount val="1"/>
                <c:pt idx="0">
                  <c:v>SFW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report!$C$2:$C$304</c:f>
              <c:numCache>
                <c:formatCode>[$-419]mmmm\ yyyy;@</c:formatCode>
                <c:ptCount val="303"/>
                <c:pt idx="0">
                  <c:v>45840</c:v>
                </c:pt>
                <c:pt idx="1">
                  <c:v>45841</c:v>
                </c:pt>
                <c:pt idx="2">
                  <c:v>45842</c:v>
                </c:pt>
                <c:pt idx="3">
                  <c:v>45843</c:v>
                </c:pt>
                <c:pt idx="4">
                  <c:v>45844</c:v>
                </c:pt>
                <c:pt idx="5">
                  <c:v>45845</c:v>
                </c:pt>
                <c:pt idx="6">
                  <c:v>45846</c:v>
                </c:pt>
                <c:pt idx="7">
                  <c:v>45847</c:v>
                </c:pt>
                <c:pt idx="8">
                  <c:v>45848</c:v>
                </c:pt>
                <c:pt idx="9">
                  <c:v>45849</c:v>
                </c:pt>
                <c:pt idx="10">
                  <c:v>45850</c:v>
                </c:pt>
                <c:pt idx="11">
                  <c:v>45851</c:v>
                </c:pt>
                <c:pt idx="12">
                  <c:v>45852</c:v>
                </c:pt>
                <c:pt idx="13">
                  <c:v>45853</c:v>
                </c:pt>
                <c:pt idx="14">
                  <c:v>45854</c:v>
                </c:pt>
                <c:pt idx="15">
                  <c:v>45855</c:v>
                </c:pt>
                <c:pt idx="16">
                  <c:v>45856</c:v>
                </c:pt>
                <c:pt idx="17">
                  <c:v>45857</c:v>
                </c:pt>
                <c:pt idx="18">
                  <c:v>45858</c:v>
                </c:pt>
                <c:pt idx="19">
                  <c:v>45859</c:v>
                </c:pt>
                <c:pt idx="20">
                  <c:v>45860</c:v>
                </c:pt>
                <c:pt idx="21">
                  <c:v>45861</c:v>
                </c:pt>
                <c:pt idx="22">
                  <c:v>45862</c:v>
                </c:pt>
                <c:pt idx="23">
                  <c:v>45863</c:v>
                </c:pt>
                <c:pt idx="24">
                  <c:v>45864</c:v>
                </c:pt>
                <c:pt idx="25">
                  <c:v>45865</c:v>
                </c:pt>
                <c:pt idx="26">
                  <c:v>45866</c:v>
                </c:pt>
                <c:pt idx="27">
                  <c:v>45867</c:v>
                </c:pt>
                <c:pt idx="28">
                  <c:v>45868</c:v>
                </c:pt>
                <c:pt idx="29">
                  <c:v>45869</c:v>
                </c:pt>
                <c:pt idx="30">
                  <c:v>45870</c:v>
                </c:pt>
                <c:pt idx="31">
                  <c:v>45871</c:v>
                </c:pt>
                <c:pt idx="32">
                  <c:v>45872</c:v>
                </c:pt>
                <c:pt idx="33">
                  <c:v>45873</c:v>
                </c:pt>
                <c:pt idx="34">
                  <c:v>45874</c:v>
                </c:pt>
                <c:pt idx="35">
                  <c:v>45875</c:v>
                </c:pt>
                <c:pt idx="36">
                  <c:v>45876</c:v>
                </c:pt>
                <c:pt idx="37">
                  <c:v>45877</c:v>
                </c:pt>
                <c:pt idx="38">
                  <c:v>45878</c:v>
                </c:pt>
                <c:pt idx="39">
                  <c:v>45879</c:v>
                </c:pt>
                <c:pt idx="40">
                  <c:v>45880</c:v>
                </c:pt>
                <c:pt idx="41">
                  <c:v>45881</c:v>
                </c:pt>
                <c:pt idx="42">
                  <c:v>45882</c:v>
                </c:pt>
                <c:pt idx="43">
                  <c:v>45883</c:v>
                </c:pt>
                <c:pt idx="44">
                  <c:v>45884</c:v>
                </c:pt>
                <c:pt idx="45">
                  <c:v>45885</c:v>
                </c:pt>
                <c:pt idx="46">
                  <c:v>45886</c:v>
                </c:pt>
                <c:pt idx="47">
                  <c:v>45887</c:v>
                </c:pt>
                <c:pt idx="48">
                  <c:v>45888</c:v>
                </c:pt>
                <c:pt idx="49">
                  <c:v>45889</c:v>
                </c:pt>
                <c:pt idx="50">
                  <c:v>45890</c:v>
                </c:pt>
                <c:pt idx="51">
                  <c:v>45891</c:v>
                </c:pt>
                <c:pt idx="52">
                  <c:v>45892</c:v>
                </c:pt>
                <c:pt idx="53">
                  <c:v>45893</c:v>
                </c:pt>
                <c:pt idx="54">
                  <c:v>45894</c:v>
                </c:pt>
                <c:pt idx="55">
                  <c:v>45895</c:v>
                </c:pt>
                <c:pt idx="56">
                  <c:v>45896</c:v>
                </c:pt>
                <c:pt idx="57">
                  <c:v>45897</c:v>
                </c:pt>
                <c:pt idx="58">
                  <c:v>45898</c:v>
                </c:pt>
                <c:pt idx="59">
                  <c:v>45899</c:v>
                </c:pt>
                <c:pt idx="60">
                  <c:v>45900</c:v>
                </c:pt>
                <c:pt idx="61">
                  <c:v>45901</c:v>
                </c:pt>
                <c:pt idx="62">
                  <c:v>45902</c:v>
                </c:pt>
                <c:pt idx="63">
                  <c:v>45903</c:v>
                </c:pt>
                <c:pt idx="64">
                  <c:v>45904</c:v>
                </c:pt>
                <c:pt idx="65">
                  <c:v>45905</c:v>
                </c:pt>
                <c:pt idx="66">
                  <c:v>45906</c:v>
                </c:pt>
                <c:pt idx="67">
                  <c:v>45907</c:v>
                </c:pt>
                <c:pt idx="68">
                  <c:v>45908</c:v>
                </c:pt>
                <c:pt idx="69">
                  <c:v>45909</c:v>
                </c:pt>
                <c:pt idx="70">
                  <c:v>45910</c:v>
                </c:pt>
                <c:pt idx="71">
                  <c:v>45911</c:v>
                </c:pt>
                <c:pt idx="72">
                  <c:v>45912</c:v>
                </c:pt>
                <c:pt idx="73">
                  <c:v>45913</c:v>
                </c:pt>
                <c:pt idx="74">
                  <c:v>45914</c:v>
                </c:pt>
                <c:pt idx="75">
                  <c:v>45915</c:v>
                </c:pt>
                <c:pt idx="76">
                  <c:v>45916</c:v>
                </c:pt>
                <c:pt idx="77">
                  <c:v>45917</c:v>
                </c:pt>
                <c:pt idx="78">
                  <c:v>45918</c:v>
                </c:pt>
                <c:pt idx="79">
                  <c:v>45919</c:v>
                </c:pt>
                <c:pt idx="80">
                  <c:v>45920</c:v>
                </c:pt>
                <c:pt idx="81">
                  <c:v>45921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45927</c:v>
                </c:pt>
                <c:pt idx="88">
                  <c:v>45928</c:v>
                </c:pt>
                <c:pt idx="89">
                  <c:v>45929</c:v>
                </c:pt>
                <c:pt idx="90">
                  <c:v>45930</c:v>
                </c:pt>
                <c:pt idx="91">
                  <c:v>45931</c:v>
                </c:pt>
                <c:pt idx="92">
                  <c:v>45932</c:v>
                </c:pt>
                <c:pt idx="93">
                  <c:v>45933</c:v>
                </c:pt>
                <c:pt idx="94">
                  <c:v>45934</c:v>
                </c:pt>
                <c:pt idx="95">
                  <c:v>45935</c:v>
                </c:pt>
                <c:pt idx="96">
                  <c:v>45936</c:v>
                </c:pt>
                <c:pt idx="97">
                  <c:v>45937</c:v>
                </c:pt>
                <c:pt idx="98">
                  <c:v>45938</c:v>
                </c:pt>
                <c:pt idx="99">
                  <c:v>45939</c:v>
                </c:pt>
                <c:pt idx="100">
                  <c:v>45940</c:v>
                </c:pt>
                <c:pt idx="101">
                  <c:v>45941</c:v>
                </c:pt>
                <c:pt idx="102">
                  <c:v>45942</c:v>
                </c:pt>
                <c:pt idx="103">
                  <c:v>45943</c:v>
                </c:pt>
                <c:pt idx="104">
                  <c:v>45944</c:v>
                </c:pt>
                <c:pt idx="105">
                  <c:v>45945</c:v>
                </c:pt>
                <c:pt idx="106">
                  <c:v>45946</c:v>
                </c:pt>
                <c:pt idx="107">
                  <c:v>45947</c:v>
                </c:pt>
                <c:pt idx="108">
                  <c:v>45948</c:v>
                </c:pt>
                <c:pt idx="109">
                  <c:v>45949</c:v>
                </c:pt>
                <c:pt idx="110">
                  <c:v>45950</c:v>
                </c:pt>
                <c:pt idx="111">
                  <c:v>45951</c:v>
                </c:pt>
                <c:pt idx="112">
                  <c:v>45952</c:v>
                </c:pt>
                <c:pt idx="113">
                  <c:v>45953</c:v>
                </c:pt>
                <c:pt idx="114">
                  <c:v>45954</c:v>
                </c:pt>
                <c:pt idx="115">
                  <c:v>45955</c:v>
                </c:pt>
                <c:pt idx="116">
                  <c:v>45956</c:v>
                </c:pt>
                <c:pt idx="117">
                  <c:v>45957</c:v>
                </c:pt>
                <c:pt idx="118">
                  <c:v>45958</c:v>
                </c:pt>
                <c:pt idx="119">
                  <c:v>45959</c:v>
                </c:pt>
                <c:pt idx="120">
                  <c:v>45960</c:v>
                </c:pt>
                <c:pt idx="121">
                  <c:v>45961</c:v>
                </c:pt>
                <c:pt idx="122">
                  <c:v>45962</c:v>
                </c:pt>
                <c:pt idx="123">
                  <c:v>45963</c:v>
                </c:pt>
                <c:pt idx="124">
                  <c:v>45964</c:v>
                </c:pt>
                <c:pt idx="125">
                  <c:v>45965</c:v>
                </c:pt>
                <c:pt idx="126">
                  <c:v>45966</c:v>
                </c:pt>
                <c:pt idx="127">
                  <c:v>45967</c:v>
                </c:pt>
                <c:pt idx="128">
                  <c:v>45968</c:v>
                </c:pt>
                <c:pt idx="129">
                  <c:v>45969</c:v>
                </c:pt>
                <c:pt idx="130">
                  <c:v>45970</c:v>
                </c:pt>
                <c:pt idx="131">
                  <c:v>45971</c:v>
                </c:pt>
                <c:pt idx="132">
                  <c:v>45972</c:v>
                </c:pt>
                <c:pt idx="133">
                  <c:v>45973</c:v>
                </c:pt>
                <c:pt idx="134">
                  <c:v>45974</c:v>
                </c:pt>
                <c:pt idx="135">
                  <c:v>45975</c:v>
                </c:pt>
                <c:pt idx="136">
                  <c:v>45976</c:v>
                </c:pt>
                <c:pt idx="137">
                  <c:v>45977</c:v>
                </c:pt>
                <c:pt idx="138">
                  <c:v>45978</c:v>
                </c:pt>
                <c:pt idx="139">
                  <c:v>45979</c:v>
                </c:pt>
                <c:pt idx="140">
                  <c:v>45980</c:v>
                </c:pt>
                <c:pt idx="141">
                  <c:v>45981</c:v>
                </c:pt>
                <c:pt idx="142">
                  <c:v>45982</c:v>
                </c:pt>
                <c:pt idx="143">
                  <c:v>45983</c:v>
                </c:pt>
                <c:pt idx="144">
                  <c:v>45984</c:v>
                </c:pt>
                <c:pt idx="145">
                  <c:v>45985</c:v>
                </c:pt>
                <c:pt idx="146">
                  <c:v>45986</c:v>
                </c:pt>
                <c:pt idx="147">
                  <c:v>45987</c:v>
                </c:pt>
                <c:pt idx="148">
                  <c:v>45988</c:v>
                </c:pt>
                <c:pt idx="149">
                  <c:v>45989</c:v>
                </c:pt>
                <c:pt idx="150">
                  <c:v>45990</c:v>
                </c:pt>
                <c:pt idx="151">
                  <c:v>45991</c:v>
                </c:pt>
                <c:pt idx="152">
                  <c:v>45992</c:v>
                </c:pt>
                <c:pt idx="153">
                  <c:v>45993</c:v>
                </c:pt>
                <c:pt idx="154">
                  <c:v>45994</c:v>
                </c:pt>
                <c:pt idx="155">
                  <c:v>45995</c:v>
                </c:pt>
                <c:pt idx="156">
                  <c:v>45996</c:v>
                </c:pt>
                <c:pt idx="157">
                  <c:v>45997</c:v>
                </c:pt>
                <c:pt idx="158">
                  <c:v>45998</c:v>
                </c:pt>
                <c:pt idx="159">
                  <c:v>45999</c:v>
                </c:pt>
                <c:pt idx="160">
                  <c:v>46000</c:v>
                </c:pt>
                <c:pt idx="161">
                  <c:v>46001</c:v>
                </c:pt>
                <c:pt idx="162">
                  <c:v>46002</c:v>
                </c:pt>
                <c:pt idx="163">
                  <c:v>46003</c:v>
                </c:pt>
                <c:pt idx="164">
                  <c:v>46004</c:v>
                </c:pt>
                <c:pt idx="165">
                  <c:v>46005</c:v>
                </c:pt>
                <c:pt idx="166">
                  <c:v>46006</c:v>
                </c:pt>
                <c:pt idx="167">
                  <c:v>46007</c:v>
                </c:pt>
                <c:pt idx="168">
                  <c:v>46008</c:v>
                </c:pt>
                <c:pt idx="169">
                  <c:v>46009</c:v>
                </c:pt>
                <c:pt idx="170">
                  <c:v>46010</c:v>
                </c:pt>
                <c:pt idx="171">
                  <c:v>46011</c:v>
                </c:pt>
                <c:pt idx="172">
                  <c:v>46012</c:v>
                </c:pt>
                <c:pt idx="173">
                  <c:v>46013</c:v>
                </c:pt>
                <c:pt idx="174">
                  <c:v>46014</c:v>
                </c:pt>
                <c:pt idx="175">
                  <c:v>46015</c:v>
                </c:pt>
                <c:pt idx="176">
                  <c:v>46016</c:v>
                </c:pt>
                <c:pt idx="177">
                  <c:v>46017</c:v>
                </c:pt>
                <c:pt idx="178">
                  <c:v>46018</c:v>
                </c:pt>
                <c:pt idx="179">
                  <c:v>46019</c:v>
                </c:pt>
                <c:pt idx="180">
                  <c:v>46020</c:v>
                </c:pt>
                <c:pt idx="181">
                  <c:v>46021</c:v>
                </c:pt>
                <c:pt idx="182">
                  <c:v>46022</c:v>
                </c:pt>
                <c:pt idx="183">
                  <c:v>46023</c:v>
                </c:pt>
                <c:pt idx="184">
                  <c:v>46024</c:v>
                </c:pt>
                <c:pt idx="185">
                  <c:v>46025</c:v>
                </c:pt>
                <c:pt idx="186">
                  <c:v>46026</c:v>
                </c:pt>
                <c:pt idx="187">
                  <c:v>46027</c:v>
                </c:pt>
                <c:pt idx="188">
                  <c:v>46028</c:v>
                </c:pt>
                <c:pt idx="189">
                  <c:v>46029</c:v>
                </c:pt>
                <c:pt idx="190">
                  <c:v>46030</c:v>
                </c:pt>
                <c:pt idx="191">
                  <c:v>46031</c:v>
                </c:pt>
                <c:pt idx="192">
                  <c:v>46032</c:v>
                </c:pt>
                <c:pt idx="193">
                  <c:v>46033</c:v>
                </c:pt>
                <c:pt idx="194">
                  <c:v>46034</c:v>
                </c:pt>
                <c:pt idx="195">
                  <c:v>46035</c:v>
                </c:pt>
                <c:pt idx="196">
                  <c:v>46036</c:v>
                </c:pt>
                <c:pt idx="197">
                  <c:v>46037</c:v>
                </c:pt>
                <c:pt idx="198">
                  <c:v>46038</c:v>
                </c:pt>
                <c:pt idx="199">
                  <c:v>46039</c:v>
                </c:pt>
                <c:pt idx="200">
                  <c:v>46040</c:v>
                </c:pt>
                <c:pt idx="201">
                  <c:v>46041</c:v>
                </c:pt>
                <c:pt idx="202">
                  <c:v>46042</c:v>
                </c:pt>
                <c:pt idx="203">
                  <c:v>46043</c:v>
                </c:pt>
                <c:pt idx="204">
                  <c:v>46044</c:v>
                </c:pt>
                <c:pt idx="205">
                  <c:v>46045</c:v>
                </c:pt>
                <c:pt idx="206">
                  <c:v>46046</c:v>
                </c:pt>
                <c:pt idx="207">
                  <c:v>46047</c:v>
                </c:pt>
                <c:pt idx="208">
                  <c:v>46048</c:v>
                </c:pt>
                <c:pt idx="209">
                  <c:v>46049</c:v>
                </c:pt>
                <c:pt idx="210">
                  <c:v>46050</c:v>
                </c:pt>
                <c:pt idx="211">
                  <c:v>46051</c:v>
                </c:pt>
                <c:pt idx="212">
                  <c:v>46052</c:v>
                </c:pt>
                <c:pt idx="213">
                  <c:v>46053</c:v>
                </c:pt>
                <c:pt idx="214">
                  <c:v>46054</c:v>
                </c:pt>
                <c:pt idx="215">
                  <c:v>46055</c:v>
                </c:pt>
                <c:pt idx="216">
                  <c:v>46056</c:v>
                </c:pt>
                <c:pt idx="217">
                  <c:v>46057</c:v>
                </c:pt>
                <c:pt idx="218">
                  <c:v>46058</c:v>
                </c:pt>
                <c:pt idx="219">
                  <c:v>46059</c:v>
                </c:pt>
                <c:pt idx="220">
                  <c:v>46060</c:v>
                </c:pt>
                <c:pt idx="221">
                  <c:v>46061</c:v>
                </c:pt>
                <c:pt idx="222">
                  <c:v>46062</c:v>
                </c:pt>
                <c:pt idx="223">
                  <c:v>46063</c:v>
                </c:pt>
                <c:pt idx="224">
                  <c:v>46064</c:v>
                </c:pt>
                <c:pt idx="225">
                  <c:v>46065</c:v>
                </c:pt>
                <c:pt idx="226">
                  <c:v>46066</c:v>
                </c:pt>
                <c:pt idx="227">
                  <c:v>46067</c:v>
                </c:pt>
                <c:pt idx="228">
                  <c:v>46068</c:v>
                </c:pt>
                <c:pt idx="229">
                  <c:v>46069</c:v>
                </c:pt>
                <c:pt idx="230">
                  <c:v>46070</c:v>
                </c:pt>
                <c:pt idx="231">
                  <c:v>46071</c:v>
                </c:pt>
                <c:pt idx="232">
                  <c:v>46072</c:v>
                </c:pt>
                <c:pt idx="233">
                  <c:v>46073</c:v>
                </c:pt>
                <c:pt idx="234">
                  <c:v>46074</c:v>
                </c:pt>
                <c:pt idx="235">
                  <c:v>46075</c:v>
                </c:pt>
                <c:pt idx="236">
                  <c:v>46076</c:v>
                </c:pt>
                <c:pt idx="237">
                  <c:v>46077</c:v>
                </c:pt>
                <c:pt idx="238">
                  <c:v>46078</c:v>
                </c:pt>
                <c:pt idx="239">
                  <c:v>46079</c:v>
                </c:pt>
                <c:pt idx="240">
                  <c:v>46080</c:v>
                </c:pt>
                <c:pt idx="241">
                  <c:v>46081</c:v>
                </c:pt>
                <c:pt idx="242">
                  <c:v>46082</c:v>
                </c:pt>
                <c:pt idx="243">
                  <c:v>46083</c:v>
                </c:pt>
                <c:pt idx="244">
                  <c:v>46084</c:v>
                </c:pt>
                <c:pt idx="245">
                  <c:v>46085</c:v>
                </c:pt>
                <c:pt idx="246">
                  <c:v>46086</c:v>
                </c:pt>
                <c:pt idx="247">
                  <c:v>46087</c:v>
                </c:pt>
                <c:pt idx="248">
                  <c:v>46088</c:v>
                </c:pt>
                <c:pt idx="249">
                  <c:v>46089</c:v>
                </c:pt>
                <c:pt idx="250">
                  <c:v>46090</c:v>
                </c:pt>
                <c:pt idx="251">
                  <c:v>46091</c:v>
                </c:pt>
                <c:pt idx="252">
                  <c:v>46092</c:v>
                </c:pt>
                <c:pt idx="253">
                  <c:v>46093</c:v>
                </c:pt>
                <c:pt idx="254">
                  <c:v>46094</c:v>
                </c:pt>
                <c:pt idx="255">
                  <c:v>46095</c:v>
                </c:pt>
                <c:pt idx="256">
                  <c:v>46096</c:v>
                </c:pt>
                <c:pt idx="257">
                  <c:v>46097</c:v>
                </c:pt>
                <c:pt idx="258">
                  <c:v>46098</c:v>
                </c:pt>
                <c:pt idx="259">
                  <c:v>46099</c:v>
                </c:pt>
                <c:pt idx="260">
                  <c:v>46100</c:v>
                </c:pt>
                <c:pt idx="261">
                  <c:v>46101</c:v>
                </c:pt>
                <c:pt idx="262">
                  <c:v>46102</c:v>
                </c:pt>
                <c:pt idx="263">
                  <c:v>46103</c:v>
                </c:pt>
                <c:pt idx="264">
                  <c:v>46104</c:v>
                </c:pt>
                <c:pt idx="265">
                  <c:v>46105</c:v>
                </c:pt>
                <c:pt idx="266">
                  <c:v>46106</c:v>
                </c:pt>
                <c:pt idx="267">
                  <c:v>46107</c:v>
                </c:pt>
                <c:pt idx="268">
                  <c:v>46108</c:v>
                </c:pt>
                <c:pt idx="269">
                  <c:v>46109</c:v>
                </c:pt>
                <c:pt idx="270">
                  <c:v>46110</c:v>
                </c:pt>
                <c:pt idx="271">
                  <c:v>46111</c:v>
                </c:pt>
                <c:pt idx="272">
                  <c:v>46112</c:v>
                </c:pt>
                <c:pt idx="273">
                  <c:v>46113</c:v>
                </c:pt>
                <c:pt idx="274">
                  <c:v>46114</c:v>
                </c:pt>
                <c:pt idx="275">
                  <c:v>46115</c:v>
                </c:pt>
                <c:pt idx="276">
                  <c:v>46116</c:v>
                </c:pt>
                <c:pt idx="277">
                  <c:v>46117</c:v>
                </c:pt>
                <c:pt idx="278">
                  <c:v>46118</c:v>
                </c:pt>
                <c:pt idx="279">
                  <c:v>46119</c:v>
                </c:pt>
                <c:pt idx="280">
                  <c:v>46120</c:v>
                </c:pt>
                <c:pt idx="281">
                  <c:v>46121</c:v>
                </c:pt>
                <c:pt idx="282">
                  <c:v>46122</c:v>
                </c:pt>
                <c:pt idx="283">
                  <c:v>46123</c:v>
                </c:pt>
                <c:pt idx="284">
                  <c:v>46124</c:v>
                </c:pt>
                <c:pt idx="285">
                  <c:v>46125</c:v>
                </c:pt>
                <c:pt idx="286">
                  <c:v>46126</c:v>
                </c:pt>
                <c:pt idx="287">
                  <c:v>46127</c:v>
                </c:pt>
                <c:pt idx="288">
                  <c:v>46128</c:v>
                </c:pt>
                <c:pt idx="289">
                  <c:v>46129</c:v>
                </c:pt>
                <c:pt idx="290">
                  <c:v>46130</c:v>
                </c:pt>
                <c:pt idx="291">
                  <c:v>46131</c:v>
                </c:pt>
                <c:pt idx="292">
                  <c:v>46132</c:v>
                </c:pt>
                <c:pt idx="293">
                  <c:v>46133</c:v>
                </c:pt>
                <c:pt idx="294">
                  <c:v>46134</c:v>
                </c:pt>
                <c:pt idx="295">
                  <c:v>46135</c:v>
                </c:pt>
                <c:pt idx="296">
                  <c:v>46136</c:v>
                </c:pt>
                <c:pt idx="297">
                  <c:v>46137</c:v>
                </c:pt>
                <c:pt idx="298">
                  <c:v>46138</c:v>
                </c:pt>
                <c:pt idx="299">
                  <c:v>46139</c:v>
                </c:pt>
                <c:pt idx="300">
                  <c:v>46140</c:v>
                </c:pt>
                <c:pt idx="301">
                  <c:v>46141</c:v>
                </c:pt>
                <c:pt idx="302">
                  <c:v>46142</c:v>
                </c:pt>
              </c:numCache>
            </c:numRef>
          </c:cat>
          <c:val>
            <c:numRef>
              <c:f>report!$G$2:$G$304</c:f>
              <c:numCache>
                <c:formatCode>0.00%</c:formatCode>
                <c:ptCount val="303"/>
                <c:pt idx="0">
                  <c:v>0.17647058823529413</c:v>
                </c:pt>
                <c:pt idx="1">
                  <c:v>0.35294117647058826</c:v>
                </c:pt>
                <c:pt idx="2">
                  <c:v>0.29411764705882354</c:v>
                </c:pt>
                <c:pt idx="3">
                  <c:v>0.58823529411764708</c:v>
                </c:pt>
                <c:pt idx="4">
                  <c:v>0.29411764705882354</c:v>
                </c:pt>
                <c:pt idx="5">
                  <c:v>0.17105263157894737</c:v>
                </c:pt>
                <c:pt idx="6">
                  <c:v>0.28947368421052633</c:v>
                </c:pt>
                <c:pt idx="7">
                  <c:v>0.28947368421052633</c:v>
                </c:pt>
                <c:pt idx="8">
                  <c:v>0.34210526315789475</c:v>
                </c:pt>
                <c:pt idx="9">
                  <c:v>0.30263157894736842</c:v>
                </c:pt>
                <c:pt idx="10">
                  <c:v>0.31578947368421051</c:v>
                </c:pt>
                <c:pt idx="11">
                  <c:v>0.39473684210526316</c:v>
                </c:pt>
                <c:pt idx="12">
                  <c:v>0.29090909090909089</c:v>
                </c:pt>
                <c:pt idx="13">
                  <c:v>0.22727272727272727</c:v>
                </c:pt>
                <c:pt idx="14">
                  <c:v>0.30909090909090908</c:v>
                </c:pt>
                <c:pt idx="15">
                  <c:v>0.35454545454545455</c:v>
                </c:pt>
                <c:pt idx="16">
                  <c:v>0.2</c:v>
                </c:pt>
                <c:pt idx="17">
                  <c:v>0.34545454545454546</c:v>
                </c:pt>
                <c:pt idx="18">
                  <c:v>0.30909090909090908</c:v>
                </c:pt>
                <c:pt idx="19">
                  <c:v>0.31847133757961782</c:v>
                </c:pt>
                <c:pt idx="20">
                  <c:v>0.27388535031847133</c:v>
                </c:pt>
                <c:pt idx="21">
                  <c:v>0.27388535031847133</c:v>
                </c:pt>
                <c:pt idx="22">
                  <c:v>0.33757961783439489</c:v>
                </c:pt>
                <c:pt idx="23">
                  <c:v>0.40127388535031849</c:v>
                </c:pt>
                <c:pt idx="24">
                  <c:v>0.30573248407643311</c:v>
                </c:pt>
                <c:pt idx="25">
                  <c:v>0.37579617834394907</c:v>
                </c:pt>
                <c:pt idx="26">
                  <c:v>0.31052631578947371</c:v>
                </c:pt>
                <c:pt idx="27">
                  <c:v>0.32105263157894737</c:v>
                </c:pt>
                <c:pt idx="28">
                  <c:v>0.33684210526315789</c:v>
                </c:pt>
                <c:pt idx="29">
                  <c:v>0.33684210526315789</c:v>
                </c:pt>
                <c:pt idx="30">
                  <c:v>0.27368421052631581</c:v>
                </c:pt>
                <c:pt idx="31">
                  <c:v>0.32631578947368423</c:v>
                </c:pt>
                <c:pt idx="32">
                  <c:v>0.28947368421052633</c:v>
                </c:pt>
                <c:pt idx="33">
                  <c:v>0.32786885245901637</c:v>
                </c:pt>
                <c:pt idx="34">
                  <c:v>0.28415300546448086</c:v>
                </c:pt>
                <c:pt idx="35">
                  <c:v>0.33879781420765026</c:v>
                </c:pt>
                <c:pt idx="36">
                  <c:v>0.32240437158469948</c:v>
                </c:pt>
                <c:pt idx="37">
                  <c:v>0.31693989071038253</c:v>
                </c:pt>
                <c:pt idx="38">
                  <c:v>0.2896174863387978</c:v>
                </c:pt>
                <c:pt idx="39">
                  <c:v>0.30054644808743169</c:v>
                </c:pt>
                <c:pt idx="40">
                  <c:v>0.33163265306122447</c:v>
                </c:pt>
                <c:pt idx="41">
                  <c:v>0.27551020408163263</c:v>
                </c:pt>
                <c:pt idx="42">
                  <c:v>0.37755102040816324</c:v>
                </c:pt>
                <c:pt idx="43">
                  <c:v>0.30102040816326531</c:v>
                </c:pt>
                <c:pt idx="44">
                  <c:v>0.27551020408163263</c:v>
                </c:pt>
                <c:pt idx="45">
                  <c:v>0.34693877551020408</c:v>
                </c:pt>
                <c:pt idx="46">
                  <c:v>0.30102040816326531</c:v>
                </c:pt>
                <c:pt idx="47">
                  <c:v>0.30198019801980197</c:v>
                </c:pt>
                <c:pt idx="48">
                  <c:v>0.28712871287128711</c:v>
                </c:pt>
                <c:pt idx="49">
                  <c:v>0.3316831683168317</c:v>
                </c:pt>
                <c:pt idx="50">
                  <c:v>0.30693069306930693</c:v>
                </c:pt>
                <c:pt idx="51">
                  <c:v>0.26237623762376239</c:v>
                </c:pt>
                <c:pt idx="52">
                  <c:v>0.29702970297029702</c:v>
                </c:pt>
                <c:pt idx="53">
                  <c:v>0.3316831683168317</c:v>
                </c:pt>
                <c:pt idx="54">
                  <c:v>0.33004926108374383</c:v>
                </c:pt>
                <c:pt idx="55">
                  <c:v>0.30049261083743845</c:v>
                </c:pt>
                <c:pt idx="56">
                  <c:v>0.31034482758620691</c:v>
                </c:pt>
                <c:pt idx="57">
                  <c:v>0.30049261083743845</c:v>
                </c:pt>
                <c:pt idx="58">
                  <c:v>0.26600985221674878</c:v>
                </c:pt>
                <c:pt idx="59">
                  <c:v>0.35467980295566504</c:v>
                </c:pt>
                <c:pt idx="60">
                  <c:v>0.26600985221674878</c:v>
                </c:pt>
                <c:pt idx="61">
                  <c:v>0.35106382978723405</c:v>
                </c:pt>
                <c:pt idx="62">
                  <c:v>0.32446808510638298</c:v>
                </c:pt>
                <c:pt idx="63">
                  <c:v>0.30851063829787234</c:v>
                </c:pt>
                <c:pt idx="64">
                  <c:v>0.34042553191489361</c:v>
                </c:pt>
                <c:pt idx="65">
                  <c:v>0.32978723404255317</c:v>
                </c:pt>
                <c:pt idx="66">
                  <c:v>0.24468085106382978</c:v>
                </c:pt>
                <c:pt idx="67">
                  <c:v>0.26063829787234044</c:v>
                </c:pt>
                <c:pt idx="68">
                  <c:v>0.29648241206030151</c:v>
                </c:pt>
                <c:pt idx="69">
                  <c:v>0.30150753768844218</c:v>
                </c:pt>
                <c:pt idx="70">
                  <c:v>0.26633165829145727</c:v>
                </c:pt>
                <c:pt idx="71">
                  <c:v>0.30653266331658291</c:v>
                </c:pt>
                <c:pt idx="72">
                  <c:v>0.29145728643216079</c:v>
                </c:pt>
                <c:pt idx="73">
                  <c:v>0.32160804020100503</c:v>
                </c:pt>
                <c:pt idx="74">
                  <c:v>0.32663316582914576</c:v>
                </c:pt>
                <c:pt idx="75">
                  <c:v>0.33944954128440369</c:v>
                </c:pt>
                <c:pt idx="76">
                  <c:v>0.26605504587155965</c:v>
                </c:pt>
                <c:pt idx="77">
                  <c:v>0.28440366972477066</c:v>
                </c:pt>
                <c:pt idx="78">
                  <c:v>0.3165137614678899</c:v>
                </c:pt>
                <c:pt idx="79">
                  <c:v>0.30275229357798167</c:v>
                </c:pt>
                <c:pt idx="80">
                  <c:v>0.30733944954128439</c:v>
                </c:pt>
                <c:pt idx="81">
                  <c:v>0.3256880733944954</c:v>
                </c:pt>
                <c:pt idx="82">
                  <c:v>0.33500000000000002</c:v>
                </c:pt>
                <c:pt idx="83">
                  <c:v>0.27500000000000002</c:v>
                </c:pt>
                <c:pt idx="84">
                  <c:v>0.28999999999999998</c:v>
                </c:pt>
                <c:pt idx="85">
                  <c:v>0.36499999999999999</c:v>
                </c:pt>
                <c:pt idx="86">
                  <c:v>0.28999999999999998</c:v>
                </c:pt>
                <c:pt idx="87">
                  <c:v>0.38</c:v>
                </c:pt>
                <c:pt idx="88">
                  <c:v>0.31</c:v>
                </c:pt>
                <c:pt idx="89">
                  <c:v>0.3127962085308057</c:v>
                </c:pt>
                <c:pt idx="90">
                  <c:v>0.27962085308056872</c:v>
                </c:pt>
                <c:pt idx="91">
                  <c:v>0.2890995260663507</c:v>
                </c:pt>
                <c:pt idx="92">
                  <c:v>0.24644549763033174</c:v>
                </c:pt>
                <c:pt idx="93">
                  <c:v>0.32701421800947866</c:v>
                </c:pt>
                <c:pt idx="94">
                  <c:v>0.33175355450236965</c:v>
                </c:pt>
                <c:pt idx="95">
                  <c:v>0.2132701421800948</c:v>
                </c:pt>
                <c:pt idx="96">
                  <c:v>0.40526315789473683</c:v>
                </c:pt>
                <c:pt idx="97">
                  <c:v>0.32105263157894737</c:v>
                </c:pt>
                <c:pt idx="98">
                  <c:v>0.29473684210526313</c:v>
                </c:pt>
                <c:pt idx="99">
                  <c:v>0.3473684210526316</c:v>
                </c:pt>
                <c:pt idx="100">
                  <c:v>0.26842105263157895</c:v>
                </c:pt>
                <c:pt idx="101">
                  <c:v>0.31052631578947371</c:v>
                </c:pt>
                <c:pt idx="102">
                  <c:v>0.34210526315789475</c:v>
                </c:pt>
                <c:pt idx="103">
                  <c:v>0.24651162790697675</c:v>
                </c:pt>
                <c:pt idx="104">
                  <c:v>0.33488372093023255</c:v>
                </c:pt>
                <c:pt idx="105">
                  <c:v>0.28837209302325584</c:v>
                </c:pt>
                <c:pt idx="106">
                  <c:v>0.28837209302325584</c:v>
                </c:pt>
                <c:pt idx="107">
                  <c:v>0.32558139534883723</c:v>
                </c:pt>
                <c:pt idx="108">
                  <c:v>0.28837209302325584</c:v>
                </c:pt>
                <c:pt idx="109">
                  <c:v>0.38139534883720932</c:v>
                </c:pt>
                <c:pt idx="110">
                  <c:v>0.24880382775119617</c:v>
                </c:pt>
                <c:pt idx="111">
                  <c:v>0.31100478468899523</c:v>
                </c:pt>
                <c:pt idx="112">
                  <c:v>0.30622009569377989</c:v>
                </c:pt>
                <c:pt idx="113">
                  <c:v>0.27272727272727271</c:v>
                </c:pt>
                <c:pt idx="114">
                  <c:v>0.27751196172248804</c:v>
                </c:pt>
                <c:pt idx="115">
                  <c:v>0.31578947368421051</c:v>
                </c:pt>
                <c:pt idx="116">
                  <c:v>0.28708133971291866</c:v>
                </c:pt>
                <c:pt idx="117">
                  <c:v>0.2570093457943925</c:v>
                </c:pt>
                <c:pt idx="118">
                  <c:v>0.30373831775700932</c:v>
                </c:pt>
                <c:pt idx="119">
                  <c:v>0.25233644859813081</c:v>
                </c:pt>
                <c:pt idx="120">
                  <c:v>0.30841121495327101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0.26794258373205743</c:v>
                </c:pt>
                <c:pt idx="125">
                  <c:v>0.30143540669856461</c:v>
                </c:pt>
                <c:pt idx="126">
                  <c:v>0.33014354066985646</c:v>
                </c:pt>
                <c:pt idx="127">
                  <c:v>0.29665071770334928</c:v>
                </c:pt>
                <c:pt idx="128">
                  <c:v>0.28708133971291866</c:v>
                </c:pt>
                <c:pt idx="129">
                  <c:v>0.28708133971291866</c:v>
                </c:pt>
                <c:pt idx="130">
                  <c:v>0.28708133971291866</c:v>
                </c:pt>
                <c:pt idx="131">
                  <c:v>0.27638190954773867</c:v>
                </c:pt>
                <c:pt idx="132">
                  <c:v>0.31155778894472363</c:v>
                </c:pt>
                <c:pt idx="133">
                  <c:v>0.26633165829145727</c:v>
                </c:pt>
                <c:pt idx="134">
                  <c:v>0.271356783919598</c:v>
                </c:pt>
                <c:pt idx="135">
                  <c:v>0.23115577889447236</c:v>
                </c:pt>
                <c:pt idx="136">
                  <c:v>0.27638190954773867</c:v>
                </c:pt>
                <c:pt idx="137">
                  <c:v>0.25628140703517588</c:v>
                </c:pt>
                <c:pt idx="138">
                  <c:v>0.30526315789473685</c:v>
                </c:pt>
                <c:pt idx="139">
                  <c:v>0.26842105263157895</c:v>
                </c:pt>
                <c:pt idx="140">
                  <c:v>0.21052631578947367</c:v>
                </c:pt>
                <c:pt idx="141">
                  <c:v>0.26315789473684209</c:v>
                </c:pt>
                <c:pt idx="142">
                  <c:v>0.17894736842105263</c:v>
                </c:pt>
                <c:pt idx="143">
                  <c:v>0.21578947368421053</c:v>
                </c:pt>
                <c:pt idx="144">
                  <c:v>0.20526315789473684</c:v>
                </c:pt>
                <c:pt idx="145">
                  <c:v>0.19047619047619047</c:v>
                </c:pt>
                <c:pt idx="146">
                  <c:v>0.19047619047619047</c:v>
                </c:pt>
                <c:pt idx="147">
                  <c:v>0.18452380952380953</c:v>
                </c:pt>
                <c:pt idx="148">
                  <c:v>0.20833333333333334</c:v>
                </c:pt>
                <c:pt idx="149">
                  <c:v>0.19047619047619047</c:v>
                </c:pt>
                <c:pt idx="150">
                  <c:v>0.13690476190476192</c:v>
                </c:pt>
                <c:pt idx="151">
                  <c:v>0.20833333333333334</c:v>
                </c:pt>
                <c:pt idx="152">
                  <c:v>0.21476510067114093</c:v>
                </c:pt>
                <c:pt idx="153">
                  <c:v>0.16778523489932887</c:v>
                </c:pt>
                <c:pt idx="154">
                  <c:v>0.12751677852348994</c:v>
                </c:pt>
                <c:pt idx="155">
                  <c:v>0.20134228187919462</c:v>
                </c:pt>
                <c:pt idx="156">
                  <c:v>0.15436241610738255</c:v>
                </c:pt>
                <c:pt idx="157">
                  <c:v>0.21476510067114093</c:v>
                </c:pt>
                <c:pt idx="158">
                  <c:v>0.2348993288590604</c:v>
                </c:pt>
                <c:pt idx="159">
                  <c:v>0.19727891156462585</c:v>
                </c:pt>
                <c:pt idx="160">
                  <c:v>0.24489795918367346</c:v>
                </c:pt>
                <c:pt idx="161">
                  <c:v>0.20408163265306123</c:v>
                </c:pt>
                <c:pt idx="162">
                  <c:v>0.17006802721088435</c:v>
                </c:pt>
                <c:pt idx="163">
                  <c:v>0.21088435374149661</c:v>
                </c:pt>
                <c:pt idx="164">
                  <c:v>0.23129251700680273</c:v>
                </c:pt>
                <c:pt idx="165">
                  <c:v>0.14965986394557823</c:v>
                </c:pt>
                <c:pt idx="166">
                  <c:v>0.18439716312056736</c:v>
                </c:pt>
                <c:pt idx="167">
                  <c:v>0.19148936170212766</c:v>
                </c:pt>
                <c:pt idx="168">
                  <c:v>0.19858156028368795</c:v>
                </c:pt>
                <c:pt idx="169">
                  <c:v>0.14184397163120568</c:v>
                </c:pt>
                <c:pt idx="170">
                  <c:v>0.22695035460992907</c:v>
                </c:pt>
                <c:pt idx="171">
                  <c:v>0.19858156028368795</c:v>
                </c:pt>
                <c:pt idx="172">
                  <c:v>0.19858156028368795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0.1793103448275862</c:v>
                </c:pt>
                <c:pt idx="178">
                  <c:v>0.16551724137931034</c:v>
                </c:pt>
                <c:pt idx="179">
                  <c:v>0.22068965517241379</c:v>
                </c:pt>
                <c:pt idx="180">
                  <c:v>0.16763005780346821</c:v>
                </c:pt>
                <c:pt idx="181">
                  <c:v>0.12716763005780346</c:v>
                </c:pt>
                <c:pt idx="182">
                  <c:v>0.2138728323699422</c:v>
                </c:pt>
                <c:pt idx="183">
                  <c:v>0.13872832369942195</c:v>
                </c:pt>
                <c:pt idx="184">
                  <c:v>0.20231213872832371</c:v>
                </c:pt>
                <c:pt idx="185">
                  <c:v>0.23121387283236994</c:v>
                </c:pt>
                <c:pt idx="186">
                  <c:v>0.26589595375722541</c:v>
                </c:pt>
                <c:pt idx="187">
                  <c:v>0.17307692307692307</c:v>
                </c:pt>
                <c:pt idx="188">
                  <c:v>0.22115384615384615</c:v>
                </c:pt>
                <c:pt idx="189">
                  <c:v>0.16826923076923078</c:v>
                </c:pt>
                <c:pt idx="190">
                  <c:v>0.25480769230769229</c:v>
                </c:pt>
                <c:pt idx="191">
                  <c:v>0.25480769230769229</c:v>
                </c:pt>
                <c:pt idx="192">
                  <c:v>0.25</c:v>
                </c:pt>
                <c:pt idx="193">
                  <c:v>0.3125</c:v>
                </c:pt>
                <c:pt idx="194">
                  <c:v>0.21311475409836064</c:v>
                </c:pt>
                <c:pt idx="195">
                  <c:v>0.25409836065573771</c:v>
                </c:pt>
                <c:pt idx="196">
                  <c:v>0.3155737704918033</c:v>
                </c:pt>
                <c:pt idx="197">
                  <c:v>0.25</c:v>
                </c:pt>
                <c:pt idx="198">
                  <c:v>0.28688524590163933</c:v>
                </c:pt>
                <c:pt idx="199">
                  <c:v>0.27049180327868855</c:v>
                </c:pt>
                <c:pt idx="200">
                  <c:v>0.29918032786885246</c:v>
                </c:pt>
                <c:pt idx="201">
                  <c:v>0.256140350877193</c:v>
                </c:pt>
                <c:pt idx="202">
                  <c:v>0.2807017543859649</c:v>
                </c:pt>
                <c:pt idx="203">
                  <c:v>0.26315789473684209</c:v>
                </c:pt>
                <c:pt idx="204">
                  <c:v>0.31578947368421051</c:v>
                </c:pt>
                <c:pt idx="205">
                  <c:v>0.27368421052631581</c:v>
                </c:pt>
                <c:pt idx="206">
                  <c:v>0.31578947368421051</c:v>
                </c:pt>
                <c:pt idx="207">
                  <c:v>0.30877192982456142</c:v>
                </c:pt>
                <c:pt idx="208">
                  <c:v>0.25075528700906347</c:v>
                </c:pt>
                <c:pt idx="209">
                  <c:v>0.27794561933534745</c:v>
                </c:pt>
                <c:pt idx="210">
                  <c:v>0.29909365558912387</c:v>
                </c:pt>
                <c:pt idx="211">
                  <c:v>0.2809667673716012</c:v>
                </c:pt>
                <c:pt idx="212">
                  <c:v>0.34743202416918428</c:v>
                </c:pt>
                <c:pt idx="213">
                  <c:v>0.32628398791540786</c:v>
                </c:pt>
                <c:pt idx="214">
                  <c:v>0.33836858006042297</c:v>
                </c:pt>
                <c:pt idx="215">
                  <c:v>0.25519287833827892</c:v>
                </c:pt>
                <c:pt idx="216">
                  <c:v>0.29080118694362017</c:v>
                </c:pt>
                <c:pt idx="217">
                  <c:v>0.29673590504451036</c:v>
                </c:pt>
                <c:pt idx="218">
                  <c:v>0.28189910979228489</c:v>
                </c:pt>
                <c:pt idx="219">
                  <c:v>0.29080118694362017</c:v>
                </c:pt>
                <c:pt idx="220">
                  <c:v>0.26706231454005935</c:v>
                </c:pt>
                <c:pt idx="221">
                  <c:v>0.31750741839762614</c:v>
                </c:pt>
                <c:pt idx="222">
                  <c:v>0.30239520958083832</c:v>
                </c:pt>
                <c:pt idx="223">
                  <c:v>0.31137724550898205</c:v>
                </c:pt>
                <c:pt idx="224">
                  <c:v>0.29341317365269459</c:v>
                </c:pt>
                <c:pt idx="225">
                  <c:v>0.30239520958083832</c:v>
                </c:pt>
                <c:pt idx="226">
                  <c:v>0.28143712574850299</c:v>
                </c:pt>
                <c:pt idx="227">
                  <c:v>0.32335329341317365</c:v>
                </c:pt>
                <c:pt idx="228">
                  <c:v>0.30838323353293412</c:v>
                </c:pt>
                <c:pt idx="229">
                  <c:v>0.26243093922651933</c:v>
                </c:pt>
                <c:pt idx="230">
                  <c:v>0.29558011049723759</c:v>
                </c:pt>
                <c:pt idx="231">
                  <c:v>0.32044198895027626</c:v>
                </c:pt>
                <c:pt idx="232">
                  <c:v>0.30110497237569062</c:v>
                </c:pt>
                <c:pt idx="233">
                  <c:v>0.23204419889502761</c:v>
                </c:pt>
                <c:pt idx="234">
                  <c:v>0.27071823204419887</c:v>
                </c:pt>
                <c:pt idx="235">
                  <c:v>0.31767955801104975</c:v>
                </c:pt>
                <c:pt idx="236">
                  <c:v>0.22300469483568075</c:v>
                </c:pt>
                <c:pt idx="237">
                  <c:v>0.24882629107981222</c:v>
                </c:pt>
                <c:pt idx="238">
                  <c:v>0.27699530516431925</c:v>
                </c:pt>
                <c:pt idx="239">
                  <c:v>0.2981220657276995</c:v>
                </c:pt>
                <c:pt idx="240">
                  <c:v>0.24413145539906103</c:v>
                </c:pt>
                <c:pt idx="241">
                  <c:v>0.30751173708920188</c:v>
                </c:pt>
                <c:pt idx="242">
                  <c:v>0.30516431924882631</c:v>
                </c:pt>
                <c:pt idx="243">
                  <c:v>0.20175438596491227</c:v>
                </c:pt>
                <c:pt idx="244">
                  <c:v>0.24415204678362573</c:v>
                </c:pt>
                <c:pt idx="245">
                  <c:v>0.24853801169590642</c:v>
                </c:pt>
                <c:pt idx="246">
                  <c:v>0.2412280701754386</c:v>
                </c:pt>
                <c:pt idx="247">
                  <c:v>0.21783625730994152</c:v>
                </c:pt>
                <c:pt idx="248">
                  <c:v>0.22076023391812866</c:v>
                </c:pt>
                <c:pt idx="249">
                  <c:v>0.25292397660818716</c:v>
                </c:pt>
                <c:pt idx="250">
                  <c:v>0.20576131687242799</c:v>
                </c:pt>
                <c:pt idx="251">
                  <c:v>0.22222222222222221</c:v>
                </c:pt>
                <c:pt idx="252">
                  <c:v>0.24005486968449932</c:v>
                </c:pt>
                <c:pt idx="253">
                  <c:v>0.24142661179698216</c:v>
                </c:pt>
                <c:pt idx="254">
                  <c:v>0.24691358024691357</c:v>
                </c:pt>
                <c:pt idx="255">
                  <c:v>0.23045267489711935</c:v>
                </c:pt>
                <c:pt idx="256">
                  <c:v>0.25377229080932784</c:v>
                </c:pt>
                <c:pt idx="257">
                  <c:v>0.23415265200517466</c:v>
                </c:pt>
                <c:pt idx="258">
                  <c:v>0.22250970245795601</c:v>
                </c:pt>
                <c:pt idx="259">
                  <c:v>0.24191461836998707</c:v>
                </c:pt>
                <c:pt idx="260">
                  <c:v>0.28201811125485121</c:v>
                </c:pt>
                <c:pt idx="261">
                  <c:v>0.23803363518758086</c:v>
                </c:pt>
                <c:pt idx="262">
                  <c:v>0.25097024579560157</c:v>
                </c:pt>
                <c:pt idx="263">
                  <c:v>0.16946959896507116</c:v>
                </c:pt>
                <c:pt idx="264">
                  <c:v>0.30397236614853196</c:v>
                </c:pt>
                <c:pt idx="265">
                  <c:v>0.23488773747841105</c:v>
                </c:pt>
                <c:pt idx="266">
                  <c:v>0.26424870466321243</c:v>
                </c:pt>
                <c:pt idx="267">
                  <c:v>0.27461139896373055</c:v>
                </c:pt>
                <c:pt idx="268">
                  <c:v>0.24697754749568221</c:v>
                </c:pt>
                <c:pt idx="269">
                  <c:v>0.26943005181347152</c:v>
                </c:pt>
                <c:pt idx="270">
                  <c:v>0.26079447322970639</c:v>
                </c:pt>
                <c:pt idx="271">
                  <c:v>0.21233859397417504</c:v>
                </c:pt>
                <c:pt idx="272">
                  <c:v>0.26398852223816355</c:v>
                </c:pt>
                <c:pt idx="273">
                  <c:v>0.29268292682926828</c:v>
                </c:pt>
                <c:pt idx="274">
                  <c:v>0.3084648493543759</c:v>
                </c:pt>
                <c:pt idx="275">
                  <c:v>0.28407460545193686</c:v>
                </c:pt>
                <c:pt idx="276">
                  <c:v>0.28550932568149212</c:v>
                </c:pt>
                <c:pt idx="277">
                  <c:v>0.26972740315638449</c:v>
                </c:pt>
                <c:pt idx="278">
                  <c:v>0.29624060150375942</c:v>
                </c:pt>
                <c:pt idx="279">
                  <c:v>0.28872180451127821</c:v>
                </c:pt>
                <c:pt idx="280">
                  <c:v>0.3007518796992481</c:v>
                </c:pt>
                <c:pt idx="281">
                  <c:v>0.28872180451127821</c:v>
                </c:pt>
                <c:pt idx="282">
                  <c:v>0.2586466165413534</c:v>
                </c:pt>
                <c:pt idx="283">
                  <c:v>0.24060150375939848</c:v>
                </c:pt>
                <c:pt idx="284">
                  <c:v>0.25263157894736843</c:v>
                </c:pt>
                <c:pt idx="285">
                  <c:v>0.2928082191780822</c:v>
                </c:pt>
                <c:pt idx="286">
                  <c:v>0.2636986301369863</c:v>
                </c:pt>
                <c:pt idx="287">
                  <c:v>0.25</c:v>
                </c:pt>
                <c:pt idx="288">
                  <c:v>0.28424657534246578</c:v>
                </c:pt>
                <c:pt idx="289">
                  <c:v>0.22945205479452055</c:v>
                </c:pt>
                <c:pt idx="290">
                  <c:v>0.25513698630136988</c:v>
                </c:pt>
                <c:pt idx="291">
                  <c:v>0.22602739726027396</c:v>
                </c:pt>
                <c:pt idx="292">
                  <c:v>0.26680244399185338</c:v>
                </c:pt>
                <c:pt idx="293">
                  <c:v>0.21181262729124237</c:v>
                </c:pt>
                <c:pt idx="294">
                  <c:v>0.21384928716904278</c:v>
                </c:pt>
                <c:pt idx="295">
                  <c:v>0.21384928716904278</c:v>
                </c:pt>
                <c:pt idx="296">
                  <c:v>0.18329938900203666</c:v>
                </c:pt>
                <c:pt idx="297">
                  <c:v>0.20570264765784113</c:v>
                </c:pt>
                <c:pt idx="298">
                  <c:v>0.18737270875763748</c:v>
                </c:pt>
                <c:pt idx="299">
                  <c:v>0.26984126984126983</c:v>
                </c:pt>
                <c:pt idx="300">
                  <c:v>0.29761904761904762</c:v>
                </c:pt>
                <c:pt idx="301">
                  <c:v>0.28968253968253971</c:v>
                </c:pt>
                <c:pt idx="302">
                  <c:v>0.28174603174603174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7-4A8D-9DF6-8091A3DAB8E7}"/>
            </c:ext>
          </c:extLst>
        </c:ser>
        <c:ser>
          <c:idx val="1"/>
          <c:order val="1"/>
          <c:tx>
            <c:strRef>
              <c:f>report!$H$1</c:f>
              <c:strCache>
                <c:ptCount val="1"/>
                <c:pt idx="0">
                  <c:v>SFM</c:v>
                </c:pt>
              </c:strCache>
            </c:strRef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report!$C$2:$C$304</c:f>
              <c:numCache>
                <c:formatCode>[$-419]mmmm\ yyyy;@</c:formatCode>
                <c:ptCount val="303"/>
                <c:pt idx="0">
                  <c:v>45840</c:v>
                </c:pt>
                <c:pt idx="1">
                  <c:v>45841</c:v>
                </c:pt>
                <c:pt idx="2">
                  <c:v>45842</c:v>
                </c:pt>
                <c:pt idx="3">
                  <c:v>45843</c:v>
                </c:pt>
                <c:pt idx="4">
                  <c:v>45844</c:v>
                </c:pt>
                <c:pt idx="5">
                  <c:v>45845</c:v>
                </c:pt>
                <c:pt idx="6">
                  <c:v>45846</c:v>
                </c:pt>
                <c:pt idx="7">
                  <c:v>45847</c:v>
                </c:pt>
                <c:pt idx="8">
                  <c:v>45848</c:v>
                </c:pt>
                <c:pt idx="9">
                  <c:v>45849</c:v>
                </c:pt>
                <c:pt idx="10">
                  <c:v>45850</c:v>
                </c:pt>
                <c:pt idx="11">
                  <c:v>45851</c:v>
                </c:pt>
                <c:pt idx="12">
                  <c:v>45852</c:v>
                </c:pt>
                <c:pt idx="13">
                  <c:v>45853</c:v>
                </c:pt>
                <c:pt idx="14">
                  <c:v>45854</c:v>
                </c:pt>
                <c:pt idx="15">
                  <c:v>45855</c:v>
                </c:pt>
                <c:pt idx="16">
                  <c:v>45856</c:v>
                </c:pt>
                <c:pt idx="17">
                  <c:v>45857</c:v>
                </c:pt>
                <c:pt idx="18">
                  <c:v>45858</c:v>
                </c:pt>
                <c:pt idx="19">
                  <c:v>45859</c:v>
                </c:pt>
                <c:pt idx="20">
                  <c:v>45860</c:v>
                </c:pt>
                <c:pt idx="21">
                  <c:v>45861</c:v>
                </c:pt>
                <c:pt idx="22">
                  <c:v>45862</c:v>
                </c:pt>
                <c:pt idx="23">
                  <c:v>45863</c:v>
                </c:pt>
                <c:pt idx="24">
                  <c:v>45864</c:v>
                </c:pt>
                <c:pt idx="25">
                  <c:v>45865</c:v>
                </c:pt>
                <c:pt idx="26">
                  <c:v>45866</c:v>
                </c:pt>
                <c:pt idx="27">
                  <c:v>45867</c:v>
                </c:pt>
                <c:pt idx="28">
                  <c:v>45868</c:v>
                </c:pt>
                <c:pt idx="29">
                  <c:v>45869</c:v>
                </c:pt>
                <c:pt idx="30">
                  <c:v>45870</c:v>
                </c:pt>
                <c:pt idx="31">
                  <c:v>45871</c:v>
                </c:pt>
                <c:pt idx="32">
                  <c:v>45872</c:v>
                </c:pt>
                <c:pt idx="33">
                  <c:v>45873</c:v>
                </c:pt>
                <c:pt idx="34">
                  <c:v>45874</c:v>
                </c:pt>
                <c:pt idx="35">
                  <c:v>45875</c:v>
                </c:pt>
                <c:pt idx="36">
                  <c:v>45876</c:v>
                </c:pt>
                <c:pt idx="37">
                  <c:v>45877</c:v>
                </c:pt>
                <c:pt idx="38">
                  <c:v>45878</c:v>
                </c:pt>
                <c:pt idx="39">
                  <c:v>45879</c:v>
                </c:pt>
                <c:pt idx="40">
                  <c:v>45880</c:v>
                </c:pt>
                <c:pt idx="41">
                  <c:v>45881</c:v>
                </c:pt>
                <c:pt idx="42">
                  <c:v>45882</c:v>
                </c:pt>
                <c:pt idx="43">
                  <c:v>45883</c:v>
                </c:pt>
                <c:pt idx="44">
                  <c:v>45884</c:v>
                </c:pt>
                <c:pt idx="45">
                  <c:v>45885</c:v>
                </c:pt>
                <c:pt idx="46">
                  <c:v>45886</c:v>
                </c:pt>
                <c:pt idx="47">
                  <c:v>45887</c:v>
                </c:pt>
                <c:pt idx="48">
                  <c:v>45888</c:v>
                </c:pt>
                <c:pt idx="49">
                  <c:v>45889</c:v>
                </c:pt>
                <c:pt idx="50">
                  <c:v>45890</c:v>
                </c:pt>
                <c:pt idx="51">
                  <c:v>45891</c:v>
                </c:pt>
                <c:pt idx="52">
                  <c:v>45892</c:v>
                </c:pt>
                <c:pt idx="53">
                  <c:v>45893</c:v>
                </c:pt>
                <c:pt idx="54">
                  <c:v>45894</c:v>
                </c:pt>
                <c:pt idx="55">
                  <c:v>45895</c:v>
                </c:pt>
                <c:pt idx="56">
                  <c:v>45896</c:v>
                </c:pt>
                <c:pt idx="57">
                  <c:v>45897</c:v>
                </c:pt>
                <c:pt idx="58">
                  <c:v>45898</c:v>
                </c:pt>
                <c:pt idx="59">
                  <c:v>45899</c:v>
                </c:pt>
                <c:pt idx="60">
                  <c:v>45900</c:v>
                </c:pt>
                <c:pt idx="61">
                  <c:v>45901</c:v>
                </c:pt>
                <c:pt idx="62">
                  <c:v>45902</c:v>
                </c:pt>
                <c:pt idx="63">
                  <c:v>45903</c:v>
                </c:pt>
                <c:pt idx="64">
                  <c:v>45904</c:v>
                </c:pt>
                <c:pt idx="65">
                  <c:v>45905</c:v>
                </c:pt>
                <c:pt idx="66">
                  <c:v>45906</c:v>
                </c:pt>
                <c:pt idx="67">
                  <c:v>45907</c:v>
                </c:pt>
                <c:pt idx="68">
                  <c:v>45908</c:v>
                </c:pt>
                <c:pt idx="69">
                  <c:v>45909</c:v>
                </c:pt>
                <c:pt idx="70">
                  <c:v>45910</c:v>
                </c:pt>
                <c:pt idx="71">
                  <c:v>45911</c:v>
                </c:pt>
                <c:pt idx="72">
                  <c:v>45912</c:v>
                </c:pt>
                <c:pt idx="73">
                  <c:v>45913</c:v>
                </c:pt>
                <c:pt idx="74">
                  <c:v>45914</c:v>
                </c:pt>
                <c:pt idx="75">
                  <c:v>45915</c:v>
                </c:pt>
                <c:pt idx="76">
                  <c:v>45916</c:v>
                </c:pt>
                <c:pt idx="77">
                  <c:v>45917</c:v>
                </c:pt>
                <c:pt idx="78">
                  <c:v>45918</c:v>
                </c:pt>
                <c:pt idx="79">
                  <c:v>45919</c:v>
                </c:pt>
                <c:pt idx="80">
                  <c:v>45920</c:v>
                </c:pt>
                <c:pt idx="81">
                  <c:v>45921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45927</c:v>
                </c:pt>
                <c:pt idx="88">
                  <c:v>45928</c:v>
                </c:pt>
                <c:pt idx="89">
                  <c:v>45929</c:v>
                </c:pt>
                <c:pt idx="90">
                  <c:v>45930</c:v>
                </c:pt>
                <c:pt idx="91">
                  <c:v>45931</c:v>
                </c:pt>
                <c:pt idx="92">
                  <c:v>45932</c:v>
                </c:pt>
                <c:pt idx="93">
                  <c:v>45933</c:v>
                </c:pt>
                <c:pt idx="94">
                  <c:v>45934</c:v>
                </c:pt>
                <c:pt idx="95">
                  <c:v>45935</c:v>
                </c:pt>
                <c:pt idx="96">
                  <c:v>45936</c:v>
                </c:pt>
                <c:pt idx="97">
                  <c:v>45937</c:v>
                </c:pt>
                <c:pt idx="98">
                  <c:v>45938</c:v>
                </c:pt>
                <c:pt idx="99">
                  <c:v>45939</c:v>
                </c:pt>
                <c:pt idx="100">
                  <c:v>45940</c:v>
                </c:pt>
                <c:pt idx="101">
                  <c:v>45941</c:v>
                </c:pt>
                <c:pt idx="102">
                  <c:v>45942</c:v>
                </c:pt>
                <c:pt idx="103">
                  <c:v>45943</c:v>
                </c:pt>
                <c:pt idx="104">
                  <c:v>45944</c:v>
                </c:pt>
                <c:pt idx="105">
                  <c:v>45945</c:v>
                </c:pt>
                <c:pt idx="106">
                  <c:v>45946</c:v>
                </c:pt>
                <c:pt idx="107">
                  <c:v>45947</c:v>
                </c:pt>
                <c:pt idx="108">
                  <c:v>45948</c:v>
                </c:pt>
                <c:pt idx="109">
                  <c:v>45949</c:v>
                </c:pt>
                <c:pt idx="110">
                  <c:v>45950</c:v>
                </c:pt>
                <c:pt idx="111">
                  <c:v>45951</c:v>
                </c:pt>
                <c:pt idx="112">
                  <c:v>45952</c:v>
                </c:pt>
                <c:pt idx="113">
                  <c:v>45953</c:v>
                </c:pt>
                <c:pt idx="114">
                  <c:v>45954</c:v>
                </c:pt>
                <c:pt idx="115">
                  <c:v>45955</c:v>
                </c:pt>
                <c:pt idx="116">
                  <c:v>45956</c:v>
                </c:pt>
                <c:pt idx="117">
                  <c:v>45957</c:v>
                </c:pt>
                <c:pt idx="118">
                  <c:v>45958</c:v>
                </c:pt>
                <c:pt idx="119">
                  <c:v>45959</c:v>
                </c:pt>
                <c:pt idx="120">
                  <c:v>45960</c:v>
                </c:pt>
                <c:pt idx="121">
                  <c:v>45961</c:v>
                </c:pt>
                <c:pt idx="122">
                  <c:v>45962</c:v>
                </c:pt>
                <c:pt idx="123">
                  <c:v>45963</c:v>
                </c:pt>
                <c:pt idx="124">
                  <c:v>45964</c:v>
                </c:pt>
                <c:pt idx="125">
                  <c:v>45965</c:v>
                </c:pt>
                <c:pt idx="126">
                  <c:v>45966</c:v>
                </c:pt>
                <c:pt idx="127">
                  <c:v>45967</c:v>
                </c:pt>
                <c:pt idx="128">
                  <c:v>45968</c:v>
                </c:pt>
                <c:pt idx="129">
                  <c:v>45969</c:v>
                </c:pt>
                <c:pt idx="130">
                  <c:v>45970</c:v>
                </c:pt>
                <c:pt idx="131">
                  <c:v>45971</c:v>
                </c:pt>
                <c:pt idx="132">
                  <c:v>45972</c:v>
                </c:pt>
                <c:pt idx="133">
                  <c:v>45973</c:v>
                </c:pt>
                <c:pt idx="134">
                  <c:v>45974</c:v>
                </c:pt>
                <c:pt idx="135">
                  <c:v>45975</c:v>
                </c:pt>
                <c:pt idx="136">
                  <c:v>45976</c:v>
                </c:pt>
                <c:pt idx="137">
                  <c:v>45977</c:v>
                </c:pt>
                <c:pt idx="138">
                  <c:v>45978</c:v>
                </c:pt>
                <c:pt idx="139">
                  <c:v>45979</c:v>
                </c:pt>
                <c:pt idx="140">
                  <c:v>45980</c:v>
                </c:pt>
                <c:pt idx="141">
                  <c:v>45981</c:v>
                </c:pt>
                <c:pt idx="142">
                  <c:v>45982</c:v>
                </c:pt>
                <c:pt idx="143">
                  <c:v>45983</c:v>
                </c:pt>
                <c:pt idx="144">
                  <c:v>45984</c:v>
                </c:pt>
                <c:pt idx="145">
                  <c:v>45985</c:v>
                </c:pt>
                <c:pt idx="146">
                  <c:v>45986</c:v>
                </c:pt>
                <c:pt idx="147">
                  <c:v>45987</c:v>
                </c:pt>
                <c:pt idx="148">
                  <c:v>45988</c:v>
                </c:pt>
                <c:pt idx="149">
                  <c:v>45989</c:v>
                </c:pt>
                <c:pt idx="150">
                  <c:v>45990</c:v>
                </c:pt>
                <c:pt idx="151">
                  <c:v>45991</c:v>
                </c:pt>
                <c:pt idx="152">
                  <c:v>45992</c:v>
                </c:pt>
                <c:pt idx="153">
                  <c:v>45993</c:v>
                </c:pt>
                <c:pt idx="154">
                  <c:v>45994</c:v>
                </c:pt>
                <c:pt idx="155">
                  <c:v>45995</c:v>
                </c:pt>
                <c:pt idx="156">
                  <c:v>45996</c:v>
                </c:pt>
                <c:pt idx="157">
                  <c:v>45997</c:v>
                </c:pt>
                <c:pt idx="158">
                  <c:v>45998</c:v>
                </c:pt>
                <c:pt idx="159">
                  <c:v>45999</c:v>
                </c:pt>
                <c:pt idx="160">
                  <c:v>46000</c:v>
                </c:pt>
                <c:pt idx="161">
                  <c:v>46001</c:v>
                </c:pt>
                <c:pt idx="162">
                  <c:v>46002</c:v>
                </c:pt>
                <c:pt idx="163">
                  <c:v>46003</c:v>
                </c:pt>
                <c:pt idx="164">
                  <c:v>46004</c:v>
                </c:pt>
                <c:pt idx="165">
                  <c:v>46005</c:v>
                </c:pt>
                <c:pt idx="166">
                  <c:v>46006</c:v>
                </c:pt>
                <c:pt idx="167">
                  <c:v>46007</c:v>
                </c:pt>
                <c:pt idx="168">
                  <c:v>46008</c:v>
                </c:pt>
                <c:pt idx="169">
                  <c:v>46009</c:v>
                </c:pt>
                <c:pt idx="170">
                  <c:v>46010</c:v>
                </c:pt>
                <c:pt idx="171">
                  <c:v>46011</c:v>
                </c:pt>
                <c:pt idx="172">
                  <c:v>46012</c:v>
                </c:pt>
                <c:pt idx="173">
                  <c:v>46013</c:v>
                </c:pt>
                <c:pt idx="174">
                  <c:v>46014</c:v>
                </c:pt>
                <c:pt idx="175">
                  <c:v>46015</c:v>
                </c:pt>
                <c:pt idx="176">
                  <c:v>46016</c:v>
                </c:pt>
                <c:pt idx="177">
                  <c:v>46017</c:v>
                </c:pt>
                <c:pt idx="178">
                  <c:v>46018</c:v>
                </c:pt>
                <c:pt idx="179">
                  <c:v>46019</c:v>
                </c:pt>
                <c:pt idx="180">
                  <c:v>46020</c:v>
                </c:pt>
                <c:pt idx="181">
                  <c:v>46021</c:v>
                </c:pt>
                <c:pt idx="182">
                  <c:v>46022</c:v>
                </c:pt>
                <c:pt idx="183">
                  <c:v>46023</c:v>
                </c:pt>
                <c:pt idx="184">
                  <c:v>46024</c:v>
                </c:pt>
                <c:pt idx="185">
                  <c:v>46025</c:v>
                </c:pt>
                <c:pt idx="186">
                  <c:v>46026</c:v>
                </c:pt>
                <c:pt idx="187">
                  <c:v>46027</c:v>
                </c:pt>
                <c:pt idx="188">
                  <c:v>46028</c:v>
                </c:pt>
                <c:pt idx="189">
                  <c:v>46029</c:v>
                </c:pt>
                <c:pt idx="190">
                  <c:v>46030</c:v>
                </c:pt>
                <c:pt idx="191">
                  <c:v>46031</c:v>
                </c:pt>
                <c:pt idx="192">
                  <c:v>46032</c:v>
                </c:pt>
                <c:pt idx="193">
                  <c:v>46033</c:v>
                </c:pt>
                <c:pt idx="194">
                  <c:v>46034</c:v>
                </c:pt>
                <c:pt idx="195">
                  <c:v>46035</c:v>
                </c:pt>
                <c:pt idx="196">
                  <c:v>46036</c:v>
                </c:pt>
                <c:pt idx="197">
                  <c:v>46037</c:v>
                </c:pt>
                <c:pt idx="198">
                  <c:v>46038</c:v>
                </c:pt>
                <c:pt idx="199">
                  <c:v>46039</c:v>
                </c:pt>
                <c:pt idx="200">
                  <c:v>46040</c:v>
                </c:pt>
                <c:pt idx="201">
                  <c:v>46041</c:v>
                </c:pt>
                <c:pt idx="202">
                  <c:v>46042</c:v>
                </c:pt>
                <c:pt idx="203">
                  <c:v>46043</c:v>
                </c:pt>
                <c:pt idx="204">
                  <c:v>46044</c:v>
                </c:pt>
                <c:pt idx="205">
                  <c:v>46045</c:v>
                </c:pt>
                <c:pt idx="206">
                  <c:v>46046</c:v>
                </c:pt>
                <c:pt idx="207">
                  <c:v>46047</c:v>
                </c:pt>
                <c:pt idx="208">
                  <c:v>46048</c:v>
                </c:pt>
                <c:pt idx="209">
                  <c:v>46049</c:v>
                </c:pt>
                <c:pt idx="210">
                  <c:v>46050</c:v>
                </c:pt>
                <c:pt idx="211">
                  <c:v>46051</c:v>
                </c:pt>
                <c:pt idx="212">
                  <c:v>46052</c:v>
                </c:pt>
                <c:pt idx="213">
                  <c:v>46053</c:v>
                </c:pt>
                <c:pt idx="214">
                  <c:v>46054</c:v>
                </c:pt>
                <c:pt idx="215">
                  <c:v>46055</c:v>
                </c:pt>
                <c:pt idx="216">
                  <c:v>46056</c:v>
                </c:pt>
                <c:pt idx="217">
                  <c:v>46057</c:v>
                </c:pt>
                <c:pt idx="218">
                  <c:v>46058</c:v>
                </c:pt>
                <c:pt idx="219">
                  <c:v>46059</c:v>
                </c:pt>
                <c:pt idx="220">
                  <c:v>46060</c:v>
                </c:pt>
                <c:pt idx="221">
                  <c:v>46061</c:v>
                </c:pt>
                <c:pt idx="222">
                  <c:v>46062</c:v>
                </c:pt>
                <c:pt idx="223">
                  <c:v>46063</c:v>
                </c:pt>
                <c:pt idx="224">
                  <c:v>46064</c:v>
                </c:pt>
                <c:pt idx="225">
                  <c:v>46065</c:v>
                </c:pt>
                <c:pt idx="226">
                  <c:v>46066</c:v>
                </c:pt>
                <c:pt idx="227">
                  <c:v>46067</c:v>
                </c:pt>
                <c:pt idx="228">
                  <c:v>46068</c:v>
                </c:pt>
                <c:pt idx="229">
                  <c:v>46069</c:v>
                </c:pt>
                <c:pt idx="230">
                  <c:v>46070</c:v>
                </c:pt>
                <c:pt idx="231">
                  <c:v>46071</c:v>
                </c:pt>
                <c:pt idx="232">
                  <c:v>46072</c:v>
                </c:pt>
                <c:pt idx="233">
                  <c:v>46073</c:v>
                </c:pt>
                <c:pt idx="234">
                  <c:v>46074</c:v>
                </c:pt>
                <c:pt idx="235">
                  <c:v>46075</c:v>
                </c:pt>
                <c:pt idx="236">
                  <c:v>46076</c:v>
                </c:pt>
                <c:pt idx="237">
                  <c:v>46077</c:v>
                </c:pt>
                <c:pt idx="238">
                  <c:v>46078</c:v>
                </c:pt>
                <c:pt idx="239">
                  <c:v>46079</c:v>
                </c:pt>
                <c:pt idx="240">
                  <c:v>46080</c:v>
                </c:pt>
                <c:pt idx="241">
                  <c:v>46081</c:v>
                </c:pt>
                <c:pt idx="242">
                  <c:v>46082</c:v>
                </c:pt>
                <c:pt idx="243">
                  <c:v>46083</c:v>
                </c:pt>
                <c:pt idx="244">
                  <c:v>46084</c:v>
                </c:pt>
                <c:pt idx="245">
                  <c:v>46085</c:v>
                </c:pt>
                <c:pt idx="246">
                  <c:v>46086</c:v>
                </c:pt>
                <c:pt idx="247">
                  <c:v>46087</c:v>
                </c:pt>
                <c:pt idx="248">
                  <c:v>46088</c:v>
                </c:pt>
                <c:pt idx="249">
                  <c:v>46089</c:v>
                </c:pt>
                <c:pt idx="250">
                  <c:v>46090</c:v>
                </c:pt>
                <c:pt idx="251">
                  <c:v>46091</c:v>
                </c:pt>
                <c:pt idx="252">
                  <c:v>46092</c:v>
                </c:pt>
                <c:pt idx="253">
                  <c:v>46093</c:v>
                </c:pt>
                <c:pt idx="254">
                  <c:v>46094</c:v>
                </c:pt>
                <c:pt idx="255">
                  <c:v>46095</c:v>
                </c:pt>
                <c:pt idx="256">
                  <c:v>46096</c:v>
                </c:pt>
                <c:pt idx="257">
                  <c:v>46097</c:v>
                </c:pt>
                <c:pt idx="258">
                  <c:v>46098</c:v>
                </c:pt>
                <c:pt idx="259">
                  <c:v>46099</c:v>
                </c:pt>
                <c:pt idx="260">
                  <c:v>46100</c:v>
                </c:pt>
                <c:pt idx="261">
                  <c:v>46101</c:v>
                </c:pt>
                <c:pt idx="262">
                  <c:v>46102</c:v>
                </c:pt>
                <c:pt idx="263">
                  <c:v>46103</c:v>
                </c:pt>
                <c:pt idx="264">
                  <c:v>46104</c:v>
                </c:pt>
                <c:pt idx="265">
                  <c:v>46105</c:v>
                </c:pt>
                <c:pt idx="266">
                  <c:v>46106</c:v>
                </c:pt>
                <c:pt idx="267">
                  <c:v>46107</c:v>
                </c:pt>
                <c:pt idx="268">
                  <c:v>46108</c:v>
                </c:pt>
                <c:pt idx="269">
                  <c:v>46109</c:v>
                </c:pt>
                <c:pt idx="270">
                  <c:v>46110</c:v>
                </c:pt>
                <c:pt idx="271">
                  <c:v>46111</c:v>
                </c:pt>
                <c:pt idx="272">
                  <c:v>46112</c:v>
                </c:pt>
                <c:pt idx="273">
                  <c:v>46113</c:v>
                </c:pt>
                <c:pt idx="274">
                  <c:v>46114</c:v>
                </c:pt>
                <c:pt idx="275">
                  <c:v>46115</c:v>
                </c:pt>
                <c:pt idx="276">
                  <c:v>46116</c:v>
                </c:pt>
                <c:pt idx="277">
                  <c:v>46117</c:v>
                </c:pt>
                <c:pt idx="278">
                  <c:v>46118</c:v>
                </c:pt>
                <c:pt idx="279">
                  <c:v>46119</c:v>
                </c:pt>
                <c:pt idx="280">
                  <c:v>46120</c:v>
                </c:pt>
                <c:pt idx="281">
                  <c:v>46121</c:v>
                </c:pt>
                <c:pt idx="282">
                  <c:v>46122</c:v>
                </c:pt>
                <c:pt idx="283">
                  <c:v>46123</c:v>
                </c:pt>
                <c:pt idx="284">
                  <c:v>46124</c:v>
                </c:pt>
                <c:pt idx="285">
                  <c:v>46125</c:v>
                </c:pt>
                <c:pt idx="286">
                  <c:v>46126</c:v>
                </c:pt>
                <c:pt idx="287">
                  <c:v>46127</c:v>
                </c:pt>
                <c:pt idx="288">
                  <c:v>46128</c:v>
                </c:pt>
                <c:pt idx="289">
                  <c:v>46129</c:v>
                </c:pt>
                <c:pt idx="290">
                  <c:v>46130</c:v>
                </c:pt>
                <c:pt idx="291">
                  <c:v>46131</c:v>
                </c:pt>
                <c:pt idx="292">
                  <c:v>46132</c:v>
                </c:pt>
                <c:pt idx="293">
                  <c:v>46133</c:v>
                </c:pt>
                <c:pt idx="294">
                  <c:v>46134</c:v>
                </c:pt>
                <c:pt idx="295">
                  <c:v>46135</c:v>
                </c:pt>
                <c:pt idx="296">
                  <c:v>46136</c:v>
                </c:pt>
                <c:pt idx="297">
                  <c:v>46137</c:v>
                </c:pt>
                <c:pt idx="298">
                  <c:v>46138</c:v>
                </c:pt>
                <c:pt idx="299">
                  <c:v>46139</c:v>
                </c:pt>
                <c:pt idx="300">
                  <c:v>46140</c:v>
                </c:pt>
                <c:pt idx="301">
                  <c:v>46141</c:v>
                </c:pt>
                <c:pt idx="302">
                  <c:v>46142</c:v>
                </c:pt>
              </c:numCache>
            </c:numRef>
          </c:cat>
          <c:val>
            <c:numRef>
              <c:f>report!$H$2:$H$304</c:f>
              <c:numCache>
                <c:formatCode>0.00%</c:formatCode>
                <c:ptCount val="303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4.4776119402985072E-2</c:v>
                </c:pt>
                <c:pt idx="184">
                  <c:v>6.5298507462686561E-2</c:v>
                </c:pt>
                <c:pt idx="185">
                  <c:v>7.4626865671641784E-2</c:v>
                </c:pt>
                <c:pt idx="186">
                  <c:v>8.5820895522388058E-2</c:v>
                </c:pt>
                <c:pt idx="187">
                  <c:v>6.7164179104477612E-2</c:v>
                </c:pt>
                <c:pt idx="188">
                  <c:v>8.5820895522388058E-2</c:v>
                </c:pt>
                <c:pt idx="189">
                  <c:v>6.5298507462686561E-2</c:v>
                </c:pt>
                <c:pt idx="190">
                  <c:v>9.8880597014925367E-2</c:v>
                </c:pt>
                <c:pt idx="191">
                  <c:v>9.8880597014925367E-2</c:v>
                </c:pt>
                <c:pt idx="192">
                  <c:v>9.7014925373134331E-2</c:v>
                </c:pt>
                <c:pt idx="193">
                  <c:v>0.12126865671641791</c:v>
                </c:pt>
                <c:pt idx="194">
                  <c:v>9.7014925373134331E-2</c:v>
                </c:pt>
                <c:pt idx="195">
                  <c:v>0.11567164179104478</c:v>
                </c:pt>
                <c:pt idx="196">
                  <c:v>0.14365671641791045</c:v>
                </c:pt>
                <c:pt idx="197">
                  <c:v>0.11380597014925373</c:v>
                </c:pt>
                <c:pt idx="198">
                  <c:v>0.13059701492537312</c:v>
                </c:pt>
                <c:pt idx="199">
                  <c:v>0.12313432835820895</c:v>
                </c:pt>
                <c:pt idx="200">
                  <c:v>0.13619402985074627</c:v>
                </c:pt>
                <c:pt idx="201">
                  <c:v>0.13619402985074627</c:v>
                </c:pt>
                <c:pt idx="202">
                  <c:v>0.14925373134328357</c:v>
                </c:pt>
                <c:pt idx="203">
                  <c:v>0.13992537313432835</c:v>
                </c:pt>
                <c:pt idx="204">
                  <c:v>0.16791044776119404</c:v>
                </c:pt>
                <c:pt idx="205">
                  <c:v>0.1455223880597015</c:v>
                </c:pt>
                <c:pt idx="206">
                  <c:v>0.16791044776119404</c:v>
                </c:pt>
                <c:pt idx="207">
                  <c:v>0.16417910447761194</c:v>
                </c:pt>
                <c:pt idx="208">
                  <c:v>0.15485074626865672</c:v>
                </c:pt>
                <c:pt idx="209">
                  <c:v>0.17164179104477612</c:v>
                </c:pt>
                <c:pt idx="210">
                  <c:v>0.18470149253731344</c:v>
                </c:pt>
                <c:pt idx="211">
                  <c:v>0.17350746268656717</c:v>
                </c:pt>
                <c:pt idx="212">
                  <c:v>0.21455223880597016</c:v>
                </c:pt>
                <c:pt idx="213">
                  <c:v>0.20149253731343283</c:v>
                </c:pt>
                <c:pt idx="214">
                  <c:v>0.16091954022988506</c:v>
                </c:pt>
                <c:pt idx="215">
                  <c:v>0.1235632183908046</c:v>
                </c:pt>
                <c:pt idx="216">
                  <c:v>0.14080459770114942</c:v>
                </c:pt>
                <c:pt idx="217">
                  <c:v>0.14367816091954022</c:v>
                </c:pt>
                <c:pt idx="218">
                  <c:v>0.13649425287356323</c:v>
                </c:pt>
                <c:pt idx="219">
                  <c:v>0.14080459770114942</c:v>
                </c:pt>
                <c:pt idx="220">
                  <c:v>0.12931034482758622</c:v>
                </c:pt>
                <c:pt idx="221">
                  <c:v>0.15373563218390804</c:v>
                </c:pt>
                <c:pt idx="222">
                  <c:v>0.14511494252873564</c:v>
                </c:pt>
                <c:pt idx="223">
                  <c:v>0.14942528735632185</c:v>
                </c:pt>
                <c:pt idx="224">
                  <c:v>0.14080459770114942</c:v>
                </c:pt>
                <c:pt idx="225">
                  <c:v>0.14511494252873564</c:v>
                </c:pt>
                <c:pt idx="226">
                  <c:v>0.13505747126436782</c:v>
                </c:pt>
                <c:pt idx="227">
                  <c:v>0.15517241379310345</c:v>
                </c:pt>
                <c:pt idx="228">
                  <c:v>0.14798850574712644</c:v>
                </c:pt>
                <c:pt idx="229">
                  <c:v>0.13649425287356323</c:v>
                </c:pt>
                <c:pt idx="230">
                  <c:v>0.15373563218390804</c:v>
                </c:pt>
                <c:pt idx="231">
                  <c:v>0.16666666666666666</c:v>
                </c:pt>
                <c:pt idx="232">
                  <c:v>0.15660919540229884</c:v>
                </c:pt>
                <c:pt idx="233">
                  <c:v>0.1206896551724138</c:v>
                </c:pt>
                <c:pt idx="234">
                  <c:v>0.14080459770114942</c:v>
                </c:pt>
                <c:pt idx="235">
                  <c:v>0.16522988505747127</c:v>
                </c:pt>
                <c:pt idx="236">
                  <c:v>0.13649425287356323</c:v>
                </c:pt>
                <c:pt idx="237">
                  <c:v>0.15229885057471265</c:v>
                </c:pt>
                <c:pt idx="238">
                  <c:v>0.16954022988505746</c:v>
                </c:pt>
                <c:pt idx="239">
                  <c:v>0.18247126436781611</c:v>
                </c:pt>
                <c:pt idx="240">
                  <c:v>0.14942528735632185</c:v>
                </c:pt>
                <c:pt idx="241">
                  <c:v>0.18821839080459771</c:v>
                </c:pt>
                <c:pt idx="242">
                  <c:v>8.4196891191709838E-2</c:v>
                </c:pt>
                <c:pt idx="243">
                  <c:v>8.937823834196891E-2</c:v>
                </c:pt>
                <c:pt idx="244">
                  <c:v>0.10816062176165803</c:v>
                </c:pt>
                <c:pt idx="245">
                  <c:v>0.11010362694300518</c:v>
                </c:pt>
                <c:pt idx="246">
                  <c:v>0.10686528497409327</c:v>
                </c:pt>
                <c:pt idx="247">
                  <c:v>9.6502590673575125E-2</c:v>
                </c:pt>
                <c:pt idx="248">
                  <c:v>9.7797927461139897E-2</c:v>
                </c:pt>
                <c:pt idx="249">
                  <c:v>0.11204663212435233</c:v>
                </c:pt>
                <c:pt idx="250">
                  <c:v>9.7150259067357511E-2</c:v>
                </c:pt>
                <c:pt idx="251">
                  <c:v>0.10492227979274611</c:v>
                </c:pt>
                <c:pt idx="252">
                  <c:v>0.1133419689119171</c:v>
                </c:pt>
                <c:pt idx="253">
                  <c:v>0.11398963730569948</c:v>
                </c:pt>
                <c:pt idx="254">
                  <c:v>0.11658031088082901</c:v>
                </c:pt>
                <c:pt idx="255">
                  <c:v>0.10880829015544041</c:v>
                </c:pt>
                <c:pt idx="256">
                  <c:v>0.11981865284974093</c:v>
                </c:pt>
                <c:pt idx="257">
                  <c:v>0.1172279792746114</c:v>
                </c:pt>
                <c:pt idx="258">
                  <c:v>0.11139896373056994</c:v>
                </c:pt>
                <c:pt idx="259">
                  <c:v>0.1211139896373057</c:v>
                </c:pt>
                <c:pt idx="260">
                  <c:v>0.14119170984455959</c:v>
                </c:pt>
                <c:pt idx="261">
                  <c:v>0.11917098445595854</c:v>
                </c:pt>
                <c:pt idx="262">
                  <c:v>0.12564766839378239</c:v>
                </c:pt>
                <c:pt idx="263">
                  <c:v>8.4844559585492224E-2</c:v>
                </c:pt>
                <c:pt idx="264">
                  <c:v>0.11398963730569948</c:v>
                </c:pt>
                <c:pt idx="265">
                  <c:v>8.8082901554404139E-2</c:v>
                </c:pt>
                <c:pt idx="266">
                  <c:v>9.9093264248704668E-2</c:v>
                </c:pt>
                <c:pt idx="267">
                  <c:v>0.10297927461139897</c:v>
                </c:pt>
                <c:pt idx="268">
                  <c:v>9.2616580310880825E-2</c:v>
                </c:pt>
                <c:pt idx="269">
                  <c:v>0.10103626943005181</c:v>
                </c:pt>
                <c:pt idx="270">
                  <c:v>9.7797927461139897E-2</c:v>
                </c:pt>
                <c:pt idx="271">
                  <c:v>9.585492227979274E-2</c:v>
                </c:pt>
                <c:pt idx="272">
                  <c:v>0.11917098445595854</c:v>
                </c:pt>
                <c:pt idx="273">
                  <c:v>0.19863680623174293</c:v>
                </c:pt>
                <c:pt idx="274">
                  <c:v>0.20934761441090555</c:v>
                </c:pt>
                <c:pt idx="275">
                  <c:v>0.19279454722492698</c:v>
                </c:pt>
                <c:pt idx="276">
                  <c:v>0.19376825705939629</c:v>
                </c:pt>
                <c:pt idx="277">
                  <c:v>0.1830574488802337</c:v>
                </c:pt>
                <c:pt idx="278">
                  <c:v>0.19182083739045763</c:v>
                </c:pt>
                <c:pt idx="279">
                  <c:v>0.186952288218111</c:v>
                </c:pt>
                <c:pt idx="280">
                  <c:v>0.19474196689386564</c:v>
                </c:pt>
                <c:pt idx="281">
                  <c:v>0.186952288218111</c:v>
                </c:pt>
                <c:pt idx="282">
                  <c:v>0.16747809152872445</c:v>
                </c:pt>
                <c:pt idx="283">
                  <c:v>0.15579357351509251</c:v>
                </c:pt>
                <c:pt idx="284">
                  <c:v>0.16358325219084713</c:v>
                </c:pt>
                <c:pt idx="285">
                  <c:v>0.1665043816942551</c:v>
                </c:pt>
                <c:pt idx="286">
                  <c:v>0.14995131450827653</c:v>
                </c:pt>
                <c:pt idx="287">
                  <c:v>0.14216163583252192</c:v>
                </c:pt>
                <c:pt idx="288">
                  <c:v>0.16163583252190847</c:v>
                </c:pt>
                <c:pt idx="289">
                  <c:v>0.13047711781888996</c:v>
                </c:pt>
                <c:pt idx="290">
                  <c:v>0.1450827653359299</c:v>
                </c:pt>
                <c:pt idx="291">
                  <c:v>0.12852969814995133</c:v>
                </c:pt>
                <c:pt idx="292">
                  <c:v>0.12755598831548198</c:v>
                </c:pt>
                <c:pt idx="293">
                  <c:v>0.10126582278481013</c:v>
                </c:pt>
                <c:pt idx="294">
                  <c:v>0.10223953261927946</c:v>
                </c:pt>
                <c:pt idx="295">
                  <c:v>0.10223953261927946</c:v>
                </c:pt>
                <c:pt idx="296">
                  <c:v>8.7633885102239531E-2</c:v>
                </c:pt>
                <c:pt idx="297">
                  <c:v>9.8344693281402148E-2</c:v>
                </c:pt>
                <c:pt idx="298">
                  <c:v>8.9581304771178191E-2</c:v>
                </c:pt>
                <c:pt idx="299">
                  <c:v>6.621226874391431E-2</c:v>
                </c:pt>
                <c:pt idx="300">
                  <c:v>7.3028237585199607E-2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7-4A8D-9DF6-8091A3DA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25567"/>
        <c:axId val="154346367"/>
      </c:lineChart>
      <c:catAx>
        <c:axId val="154325567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54346367"/>
        <c:crosses val="autoZero"/>
        <c:auto val="0"/>
        <c:lblAlgn val="ctr"/>
        <c:lblOffset val="100"/>
        <c:tickLblSkip val="10"/>
        <c:noMultiLvlLbl val="0"/>
      </c:catAx>
      <c:valAx>
        <c:axId val="15434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54325567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3600">
          <a:solidFill>
            <a:schemeClr val="bg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274320</xdr:colOff>
      <xdr:row>1</xdr:row>
      <xdr:rowOff>11428</xdr:rowOff>
    </xdr:from>
    <xdr:to>
      <xdr:col>47</xdr:col>
      <xdr:colOff>361950</xdr:colOff>
      <xdr:row>59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47EBFC2-DDC2-415A-8916-E267BADFB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195002</xdr:colOff>
      <xdr:row>65</xdr:row>
      <xdr:rowOff>166254</xdr:rowOff>
    </xdr:from>
    <xdr:to>
      <xdr:col>57</xdr:col>
      <xdr:colOff>91440</xdr:colOff>
      <xdr:row>150</xdr:row>
      <xdr:rowOff>91440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C495363-B817-445C-AFE1-27E77D0AA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7D50-48DE-4737-9A64-C045A6FE181E}">
  <dimension ref="A1:H304"/>
  <sheetViews>
    <sheetView tabSelected="1" topLeftCell="A58" zoomScale="40" zoomScaleNormal="40" workbookViewId="0">
      <selection activeCell="E8" sqref="A1:H304"/>
    </sheetView>
  </sheetViews>
  <sheetFormatPr defaultRowHeight="14.4" x14ac:dyDescent="0.3"/>
  <cols>
    <col min="3" max="3" width="13.5546875" style="15" bestFit="1" customWidth="1"/>
    <col min="7" max="8" width="8.88671875" style="11"/>
  </cols>
  <sheetData>
    <row r="1" spans="1:8" x14ac:dyDescent="0.3">
      <c r="A1" s="2" t="s">
        <v>2</v>
      </c>
      <c r="B1" s="2" t="s">
        <v>4</v>
      </c>
      <c r="C1" s="13" t="s">
        <v>0</v>
      </c>
      <c r="D1" s="2" t="s">
        <v>6</v>
      </c>
      <c r="E1" s="2" t="s">
        <v>7</v>
      </c>
      <c r="F1" s="2" t="s">
        <v>8</v>
      </c>
      <c r="G1" s="9" t="s">
        <v>9</v>
      </c>
      <c r="H1" s="10" t="s">
        <v>10</v>
      </c>
    </row>
    <row r="2" spans="1:8" x14ac:dyDescent="0.3">
      <c r="A2" s="4">
        <f>MONTH(C2)</f>
        <v>7</v>
      </c>
      <c r="B2" s="4">
        <f>_xlfn.ISOWEEKNUM(C2)</f>
        <v>27</v>
      </c>
      <c r="C2" s="14">
        <v>45840</v>
      </c>
      <c r="D2" s="4">
        <v>3</v>
      </c>
      <c r="E2" s="4">
        <f>VLOOKUP(B2, wau!A:C,3,0)</f>
        <v>17</v>
      </c>
      <c r="F2" s="4">
        <f>VLOOKUP(A2,mau!A:C,3,0)</f>
        <v>193</v>
      </c>
      <c r="G2" s="12">
        <f>D2/E2</f>
        <v>0.17647058823529413</v>
      </c>
      <c r="H2" s="12">
        <f>D2/F2</f>
        <v>1.5544041450777202E-2</v>
      </c>
    </row>
    <row r="3" spans="1:8" x14ac:dyDescent="0.3">
      <c r="A3" s="4">
        <f t="shared" ref="A3:A66" si="0">MONTH(C3)</f>
        <v>7</v>
      </c>
      <c r="B3" s="4">
        <f t="shared" ref="B3:B66" si="1">_xlfn.ISOWEEKNUM(C3)</f>
        <v>27</v>
      </c>
      <c r="C3" s="14">
        <v>45841</v>
      </c>
      <c r="D3" s="4">
        <v>6</v>
      </c>
      <c r="E3" s="4">
        <f>VLOOKUP(B3, wau!A:C,3,0)</f>
        <v>17</v>
      </c>
      <c r="F3" s="4">
        <f>VLOOKUP(A3,mau!A:C,3,0)</f>
        <v>193</v>
      </c>
      <c r="G3" s="12">
        <f t="shared" ref="G3:G66" si="2">D3/E3</f>
        <v>0.35294117647058826</v>
      </c>
      <c r="H3" s="12">
        <f t="shared" ref="H3:H66" si="3">D3/F3</f>
        <v>3.1088082901554404E-2</v>
      </c>
    </row>
    <row r="4" spans="1:8" x14ac:dyDescent="0.3">
      <c r="A4" s="4">
        <f t="shared" si="0"/>
        <v>7</v>
      </c>
      <c r="B4" s="4">
        <f t="shared" si="1"/>
        <v>27</v>
      </c>
      <c r="C4" s="14">
        <v>45842</v>
      </c>
      <c r="D4" s="4">
        <v>5</v>
      </c>
      <c r="E4" s="4">
        <f>VLOOKUP(B4, wau!A:C,3,0)</f>
        <v>17</v>
      </c>
      <c r="F4" s="4">
        <f>VLOOKUP(A4,mau!A:C,3,0)</f>
        <v>193</v>
      </c>
      <c r="G4" s="12">
        <f t="shared" si="2"/>
        <v>0.29411764705882354</v>
      </c>
      <c r="H4" s="12">
        <f t="shared" si="3"/>
        <v>2.5906735751295335E-2</v>
      </c>
    </row>
    <row r="5" spans="1:8" x14ac:dyDescent="0.3">
      <c r="A5" s="4">
        <f t="shared" si="0"/>
        <v>7</v>
      </c>
      <c r="B5" s="4">
        <f t="shared" si="1"/>
        <v>27</v>
      </c>
      <c r="C5" s="14">
        <v>45843</v>
      </c>
      <c r="D5" s="4">
        <v>10</v>
      </c>
      <c r="E5" s="4">
        <f>VLOOKUP(B5, wau!A:C,3,0)</f>
        <v>17</v>
      </c>
      <c r="F5" s="4">
        <f>VLOOKUP(A5,mau!A:C,3,0)</f>
        <v>193</v>
      </c>
      <c r="G5" s="12">
        <f t="shared" si="2"/>
        <v>0.58823529411764708</v>
      </c>
      <c r="H5" s="12">
        <f t="shared" si="3"/>
        <v>5.181347150259067E-2</v>
      </c>
    </row>
    <row r="6" spans="1:8" x14ac:dyDescent="0.3">
      <c r="A6" s="4">
        <f t="shared" si="0"/>
        <v>7</v>
      </c>
      <c r="B6" s="4">
        <f t="shared" si="1"/>
        <v>27</v>
      </c>
      <c r="C6" s="14">
        <v>45844</v>
      </c>
      <c r="D6" s="4">
        <v>5</v>
      </c>
      <c r="E6" s="4">
        <f>VLOOKUP(B6, wau!A:C,3,0)</f>
        <v>17</v>
      </c>
      <c r="F6" s="4">
        <f>VLOOKUP(A6,mau!A:C,3,0)</f>
        <v>193</v>
      </c>
      <c r="G6" s="12">
        <f t="shared" si="2"/>
        <v>0.29411764705882354</v>
      </c>
      <c r="H6" s="12">
        <f t="shared" si="3"/>
        <v>2.5906735751295335E-2</v>
      </c>
    </row>
    <row r="7" spans="1:8" x14ac:dyDescent="0.3">
      <c r="A7" s="4">
        <f t="shared" si="0"/>
        <v>7</v>
      </c>
      <c r="B7" s="4">
        <f t="shared" si="1"/>
        <v>28</v>
      </c>
      <c r="C7" s="14">
        <v>45845</v>
      </c>
      <c r="D7" s="4">
        <v>13</v>
      </c>
      <c r="E7" s="4">
        <f>VLOOKUP(B7, wau!A:C,3,0)</f>
        <v>76</v>
      </c>
      <c r="F7" s="4">
        <f>VLOOKUP(A7,mau!A:C,3,0)</f>
        <v>193</v>
      </c>
      <c r="G7" s="12">
        <f t="shared" si="2"/>
        <v>0.17105263157894737</v>
      </c>
      <c r="H7" s="12">
        <f t="shared" si="3"/>
        <v>6.7357512953367879E-2</v>
      </c>
    </row>
    <row r="8" spans="1:8" x14ac:dyDescent="0.3">
      <c r="A8" s="4">
        <f t="shared" si="0"/>
        <v>7</v>
      </c>
      <c r="B8" s="4">
        <f t="shared" si="1"/>
        <v>28</v>
      </c>
      <c r="C8" s="14">
        <v>45846</v>
      </c>
      <c r="D8" s="4">
        <v>22</v>
      </c>
      <c r="E8" s="4">
        <f>VLOOKUP(B8, wau!A:C,3,0)</f>
        <v>76</v>
      </c>
      <c r="F8" s="4">
        <f>VLOOKUP(A8,mau!A:C,3,0)</f>
        <v>193</v>
      </c>
      <c r="G8" s="12">
        <f t="shared" si="2"/>
        <v>0.28947368421052633</v>
      </c>
      <c r="H8" s="12">
        <f t="shared" si="3"/>
        <v>0.11398963730569948</v>
      </c>
    </row>
    <row r="9" spans="1:8" x14ac:dyDescent="0.3">
      <c r="A9" s="4">
        <f t="shared" si="0"/>
        <v>7</v>
      </c>
      <c r="B9" s="4">
        <f t="shared" si="1"/>
        <v>28</v>
      </c>
      <c r="C9" s="14">
        <v>45847</v>
      </c>
      <c r="D9" s="4">
        <v>22</v>
      </c>
      <c r="E9" s="4">
        <f>VLOOKUP(B9, wau!A:C,3,0)</f>
        <v>76</v>
      </c>
      <c r="F9" s="4">
        <f>VLOOKUP(A9,mau!A:C,3,0)</f>
        <v>193</v>
      </c>
      <c r="G9" s="12">
        <f t="shared" si="2"/>
        <v>0.28947368421052633</v>
      </c>
      <c r="H9" s="12">
        <f t="shared" si="3"/>
        <v>0.11398963730569948</v>
      </c>
    </row>
    <row r="10" spans="1:8" x14ac:dyDescent="0.3">
      <c r="A10" s="4">
        <f t="shared" si="0"/>
        <v>7</v>
      </c>
      <c r="B10" s="4">
        <f t="shared" si="1"/>
        <v>28</v>
      </c>
      <c r="C10" s="14">
        <v>45848</v>
      </c>
      <c r="D10" s="4">
        <v>26</v>
      </c>
      <c r="E10" s="4">
        <f>VLOOKUP(B10, wau!A:C,3,0)</f>
        <v>76</v>
      </c>
      <c r="F10" s="4">
        <f>VLOOKUP(A10,mau!A:C,3,0)</f>
        <v>193</v>
      </c>
      <c r="G10" s="12">
        <f t="shared" si="2"/>
        <v>0.34210526315789475</v>
      </c>
      <c r="H10" s="12">
        <f t="shared" si="3"/>
        <v>0.13471502590673576</v>
      </c>
    </row>
    <row r="11" spans="1:8" x14ac:dyDescent="0.3">
      <c r="A11" s="4">
        <f t="shared" si="0"/>
        <v>7</v>
      </c>
      <c r="B11" s="4">
        <f t="shared" si="1"/>
        <v>28</v>
      </c>
      <c r="C11" s="14">
        <v>45849</v>
      </c>
      <c r="D11" s="4">
        <v>23</v>
      </c>
      <c r="E11" s="4">
        <f>VLOOKUP(B11, wau!A:C,3,0)</f>
        <v>76</v>
      </c>
      <c r="F11" s="4">
        <f>VLOOKUP(A11,mau!A:C,3,0)</f>
        <v>193</v>
      </c>
      <c r="G11" s="12">
        <f t="shared" si="2"/>
        <v>0.30263157894736842</v>
      </c>
      <c r="H11" s="12">
        <f t="shared" si="3"/>
        <v>0.11917098445595854</v>
      </c>
    </row>
    <row r="12" spans="1:8" x14ac:dyDescent="0.3">
      <c r="A12" s="4">
        <f t="shared" si="0"/>
        <v>7</v>
      </c>
      <c r="B12" s="4">
        <f t="shared" si="1"/>
        <v>28</v>
      </c>
      <c r="C12" s="14">
        <v>45850</v>
      </c>
      <c r="D12" s="4">
        <v>24</v>
      </c>
      <c r="E12" s="4">
        <f>VLOOKUP(B12, wau!A:C,3,0)</f>
        <v>76</v>
      </c>
      <c r="F12" s="4">
        <f>VLOOKUP(A12,mau!A:C,3,0)</f>
        <v>193</v>
      </c>
      <c r="G12" s="12">
        <f t="shared" si="2"/>
        <v>0.31578947368421051</v>
      </c>
      <c r="H12" s="12">
        <f t="shared" si="3"/>
        <v>0.12435233160621761</v>
      </c>
    </row>
    <row r="13" spans="1:8" x14ac:dyDescent="0.3">
      <c r="A13" s="4">
        <f t="shared" si="0"/>
        <v>7</v>
      </c>
      <c r="B13" s="4">
        <f t="shared" si="1"/>
        <v>28</v>
      </c>
      <c r="C13" s="14">
        <v>45851</v>
      </c>
      <c r="D13" s="4">
        <v>30</v>
      </c>
      <c r="E13" s="4">
        <f>VLOOKUP(B13, wau!A:C,3,0)</f>
        <v>76</v>
      </c>
      <c r="F13" s="4">
        <f>VLOOKUP(A13,mau!A:C,3,0)</f>
        <v>193</v>
      </c>
      <c r="G13" s="12">
        <f t="shared" si="2"/>
        <v>0.39473684210526316</v>
      </c>
      <c r="H13" s="12">
        <f t="shared" si="3"/>
        <v>0.15544041450777202</v>
      </c>
    </row>
    <row r="14" spans="1:8" x14ac:dyDescent="0.3">
      <c r="A14" s="4">
        <f t="shared" si="0"/>
        <v>7</v>
      </c>
      <c r="B14" s="4">
        <f t="shared" si="1"/>
        <v>29</v>
      </c>
      <c r="C14" s="14">
        <v>45852</v>
      </c>
      <c r="D14" s="4">
        <v>32</v>
      </c>
      <c r="E14" s="4">
        <f>VLOOKUP(B14, wau!A:C,3,0)</f>
        <v>110</v>
      </c>
      <c r="F14" s="4">
        <f>VLOOKUP(A14,mau!A:C,3,0)</f>
        <v>193</v>
      </c>
      <c r="G14" s="12">
        <f t="shared" si="2"/>
        <v>0.29090909090909089</v>
      </c>
      <c r="H14" s="12">
        <f t="shared" si="3"/>
        <v>0.16580310880829016</v>
      </c>
    </row>
    <row r="15" spans="1:8" x14ac:dyDescent="0.3">
      <c r="A15" s="4">
        <f t="shared" si="0"/>
        <v>7</v>
      </c>
      <c r="B15" s="4">
        <f t="shared" si="1"/>
        <v>29</v>
      </c>
      <c r="C15" s="14">
        <v>45853</v>
      </c>
      <c r="D15" s="4">
        <v>25</v>
      </c>
      <c r="E15" s="4">
        <f>VLOOKUP(B15, wau!A:C,3,0)</f>
        <v>110</v>
      </c>
      <c r="F15" s="4">
        <f>VLOOKUP(A15,mau!A:C,3,0)</f>
        <v>193</v>
      </c>
      <c r="G15" s="12">
        <f t="shared" si="2"/>
        <v>0.22727272727272727</v>
      </c>
      <c r="H15" s="12">
        <f t="shared" si="3"/>
        <v>0.12953367875647667</v>
      </c>
    </row>
    <row r="16" spans="1:8" x14ac:dyDescent="0.3">
      <c r="A16" s="4">
        <f t="shared" si="0"/>
        <v>7</v>
      </c>
      <c r="B16" s="4">
        <f t="shared" si="1"/>
        <v>29</v>
      </c>
      <c r="C16" s="14">
        <v>45854</v>
      </c>
      <c r="D16" s="4">
        <v>34</v>
      </c>
      <c r="E16" s="4">
        <f>VLOOKUP(B16, wau!A:C,3,0)</f>
        <v>110</v>
      </c>
      <c r="F16" s="4">
        <f>VLOOKUP(A16,mau!A:C,3,0)</f>
        <v>193</v>
      </c>
      <c r="G16" s="12">
        <f t="shared" si="2"/>
        <v>0.30909090909090908</v>
      </c>
      <c r="H16" s="12">
        <f t="shared" si="3"/>
        <v>0.17616580310880828</v>
      </c>
    </row>
    <row r="17" spans="1:8" x14ac:dyDescent="0.3">
      <c r="A17" s="4">
        <f t="shared" si="0"/>
        <v>7</v>
      </c>
      <c r="B17" s="4">
        <f t="shared" si="1"/>
        <v>29</v>
      </c>
      <c r="C17" s="14">
        <v>45855</v>
      </c>
      <c r="D17" s="4">
        <v>39</v>
      </c>
      <c r="E17" s="4">
        <f>VLOOKUP(B17, wau!A:C,3,0)</f>
        <v>110</v>
      </c>
      <c r="F17" s="4">
        <f>VLOOKUP(A17,mau!A:C,3,0)</f>
        <v>193</v>
      </c>
      <c r="G17" s="12">
        <f t="shared" si="2"/>
        <v>0.35454545454545455</v>
      </c>
      <c r="H17" s="12">
        <f t="shared" si="3"/>
        <v>0.20207253886010362</v>
      </c>
    </row>
    <row r="18" spans="1:8" x14ac:dyDescent="0.3">
      <c r="A18" s="4">
        <f t="shared" si="0"/>
        <v>7</v>
      </c>
      <c r="B18" s="4">
        <f t="shared" si="1"/>
        <v>29</v>
      </c>
      <c r="C18" s="14">
        <v>45856</v>
      </c>
      <c r="D18" s="4">
        <v>22</v>
      </c>
      <c r="E18" s="4">
        <f>VLOOKUP(B18, wau!A:C,3,0)</f>
        <v>110</v>
      </c>
      <c r="F18" s="4">
        <f>VLOOKUP(A18,mau!A:C,3,0)</f>
        <v>193</v>
      </c>
      <c r="G18" s="12">
        <f t="shared" si="2"/>
        <v>0.2</v>
      </c>
      <c r="H18" s="12">
        <f t="shared" si="3"/>
        <v>0.11398963730569948</v>
      </c>
    </row>
    <row r="19" spans="1:8" x14ac:dyDescent="0.3">
      <c r="A19" s="4">
        <f t="shared" si="0"/>
        <v>7</v>
      </c>
      <c r="B19" s="4">
        <f t="shared" si="1"/>
        <v>29</v>
      </c>
      <c r="C19" s="14">
        <v>45857</v>
      </c>
      <c r="D19" s="4">
        <v>38</v>
      </c>
      <c r="E19" s="4">
        <f>VLOOKUP(B19, wau!A:C,3,0)</f>
        <v>110</v>
      </c>
      <c r="F19" s="4">
        <f>VLOOKUP(A19,mau!A:C,3,0)</f>
        <v>193</v>
      </c>
      <c r="G19" s="12">
        <f t="shared" si="2"/>
        <v>0.34545454545454546</v>
      </c>
      <c r="H19" s="12">
        <f t="shared" si="3"/>
        <v>0.19689119170984457</v>
      </c>
    </row>
    <row r="20" spans="1:8" x14ac:dyDescent="0.3">
      <c r="A20" s="4">
        <f t="shared" si="0"/>
        <v>7</v>
      </c>
      <c r="B20" s="4">
        <f t="shared" si="1"/>
        <v>29</v>
      </c>
      <c r="C20" s="14">
        <v>45858</v>
      </c>
      <c r="D20" s="4">
        <v>34</v>
      </c>
      <c r="E20" s="4">
        <f>VLOOKUP(B20, wau!A:C,3,0)</f>
        <v>110</v>
      </c>
      <c r="F20" s="4">
        <f>VLOOKUP(A20,mau!A:C,3,0)</f>
        <v>193</v>
      </c>
      <c r="G20" s="12">
        <f t="shared" si="2"/>
        <v>0.30909090909090908</v>
      </c>
      <c r="H20" s="12">
        <f t="shared" si="3"/>
        <v>0.17616580310880828</v>
      </c>
    </row>
    <row r="21" spans="1:8" x14ac:dyDescent="0.3">
      <c r="A21" s="4">
        <f t="shared" si="0"/>
        <v>7</v>
      </c>
      <c r="B21" s="4">
        <f t="shared" si="1"/>
        <v>30</v>
      </c>
      <c r="C21" s="14">
        <v>45859</v>
      </c>
      <c r="D21" s="4">
        <v>50</v>
      </c>
      <c r="E21" s="4">
        <f>VLOOKUP(B21, wau!A:C,3,0)</f>
        <v>157</v>
      </c>
      <c r="F21" s="4">
        <f>VLOOKUP(A21,mau!A:C,3,0)</f>
        <v>193</v>
      </c>
      <c r="G21" s="12">
        <f t="shared" si="2"/>
        <v>0.31847133757961782</v>
      </c>
      <c r="H21" s="12">
        <f t="shared" si="3"/>
        <v>0.25906735751295334</v>
      </c>
    </row>
    <row r="22" spans="1:8" x14ac:dyDescent="0.3">
      <c r="A22" s="4">
        <f t="shared" si="0"/>
        <v>7</v>
      </c>
      <c r="B22" s="4">
        <f t="shared" si="1"/>
        <v>30</v>
      </c>
      <c r="C22" s="14">
        <v>45860</v>
      </c>
      <c r="D22" s="4">
        <v>43</v>
      </c>
      <c r="E22" s="4">
        <f>VLOOKUP(B22, wau!A:C,3,0)</f>
        <v>157</v>
      </c>
      <c r="F22" s="4">
        <f>VLOOKUP(A22,mau!A:C,3,0)</f>
        <v>193</v>
      </c>
      <c r="G22" s="12">
        <f t="shared" si="2"/>
        <v>0.27388535031847133</v>
      </c>
      <c r="H22" s="12">
        <f t="shared" si="3"/>
        <v>0.22279792746113988</v>
      </c>
    </row>
    <row r="23" spans="1:8" x14ac:dyDescent="0.3">
      <c r="A23" s="4">
        <f t="shared" si="0"/>
        <v>7</v>
      </c>
      <c r="B23" s="4">
        <f t="shared" si="1"/>
        <v>30</v>
      </c>
      <c r="C23" s="14">
        <v>45861</v>
      </c>
      <c r="D23" s="4">
        <v>43</v>
      </c>
      <c r="E23" s="4">
        <f>VLOOKUP(B23, wau!A:C,3,0)</f>
        <v>157</v>
      </c>
      <c r="F23" s="4">
        <f>VLOOKUP(A23,mau!A:C,3,0)</f>
        <v>193</v>
      </c>
      <c r="G23" s="12">
        <f t="shared" si="2"/>
        <v>0.27388535031847133</v>
      </c>
      <c r="H23" s="12">
        <f t="shared" si="3"/>
        <v>0.22279792746113988</v>
      </c>
    </row>
    <row r="24" spans="1:8" x14ac:dyDescent="0.3">
      <c r="A24" s="4">
        <f t="shared" si="0"/>
        <v>7</v>
      </c>
      <c r="B24" s="4">
        <f t="shared" si="1"/>
        <v>30</v>
      </c>
      <c r="C24" s="14">
        <v>45862</v>
      </c>
      <c r="D24" s="4">
        <v>53</v>
      </c>
      <c r="E24" s="4">
        <f>VLOOKUP(B24, wau!A:C,3,0)</f>
        <v>157</v>
      </c>
      <c r="F24" s="4">
        <f>VLOOKUP(A24,mau!A:C,3,0)</f>
        <v>193</v>
      </c>
      <c r="G24" s="12">
        <f t="shared" si="2"/>
        <v>0.33757961783439489</v>
      </c>
      <c r="H24" s="12">
        <f t="shared" si="3"/>
        <v>0.27461139896373055</v>
      </c>
    </row>
    <row r="25" spans="1:8" x14ac:dyDescent="0.3">
      <c r="A25" s="4">
        <f t="shared" si="0"/>
        <v>7</v>
      </c>
      <c r="B25" s="4">
        <f t="shared" si="1"/>
        <v>30</v>
      </c>
      <c r="C25" s="14">
        <v>45863</v>
      </c>
      <c r="D25" s="4">
        <v>63</v>
      </c>
      <c r="E25" s="4">
        <f>VLOOKUP(B25, wau!A:C,3,0)</f>
        <v>157</v>
      </c>
      <c r="F25" s="4">
        <f>VLOOKUP(A25,mau!A:C,3,0)</f>
        <v>193</v>
      </c>
      <c r="G25" s="12">
        <f t="shared" si="2"/>
        <v>0.40127388535031849</v>
      </c>
      <c r="H25" s="12">
        <f t="shared" si="3"/>
        <v>0.32642487046632124</v>
      </c>
    </row>
    <row r="26" spans="1:8" x14ac:dyDescent="0.3">
      <c r="A26" s="4">
        <f t="shared" si="0"/>
        <v>7</v>
      </c>
      <c r="B26" s="4">
        <f t="shared" si="1"/>
        <v>30</v>
      </c>
      <c r="C26" s="14">
        <v>45864</v>
      </c>
      <c r="D26" s="4">
        <v>48</v>
      </c>
      <c r="E26" s="4">
        <f>VLOOKUP(B26, wau!A:C,3,0)</f>
        <v>157</v>
      </c>
      <c r="F26" s="4">
        <f>VLOOKUP(A26,mau!A:C,3,0)</f>
        <v>193</v>
      </c>
      <c r="G26" s="12">
        <f t="shared" si="2"/>
        <v>0.30573248407643311</v>
      </c>
      <c r="H26" s="12">
        <f t="shared" si="3"/>
        <v>0.24870466321243523</v>
      </c>
    </row>
    <row r="27" spans="1:8" x14ac:dyDescent="0.3">
      <c r="A27" s="4">
        <f t="shared" si="0"/>
        <v>7</v>
      </c>
      <c r="B27" s="4">
        <f t="shared" si="1"/>
        <v>30</v>
      </c>
      <c r="C27" s="14">
        <v>45865</v>
      </c>
      <c r="D27" s="4">
        <v>59</v>
      </c>
      <c r="E27" s="4">
        <f>VLOOKUP(B27, wau!A:C,3,0)</f>
        <v>157</v>
      </c>
      <c r="F27" s="4">
        <f>VLOOKUP(A27,mau!A:C,3,0)</f>
        <v>193</v>
      </c>
      <c r="G27" s="12">
        <f t="shared" si="2"/>
        <v>0.37579617834394907</v>
      </c>
      <c r="H27" s="12">
        <f t="shared" si="3"/>
        <v>0.30569948186528495</v>
      </c>
    </row>
    <row r="28" spans="1:8" x14ac:dyDescent="0.3">
      <c r="A28" s="4">
        <f t="shared" si="0"/>
        <v>7</v>
      </c>
      <c r="B28" s="4">
        <f t="shared" si="1"/>
        <v>31</v>
      </c>
      <c r="C28" s="14">
        <v>45866</v>
      </c>
      <c r="D28" s="4">
        <v>59</v>
      </c>
      <c r="E28" s="4">
        <f>VLOOKUP(B28, wau!A:C,3,0)</f>
        <v>190</v>
      </c>
      <c r="F28" s="4">
        <f>VLOOKUP(A28,mau!A:C,3,0)</f>
        <v>193</v>
      </c>
      <c r="G28" s="12">
        <f t="shared" si="2"/>
        <v>0.31052631578947371</v>
      </c>
      <c r="H28" s="12">
        <f t="shared" si="3"/>
        <v>0.30569948186528495</v>
      </c>
    </row>
    <row r="29" spans="1:8" x14ac:dyDescent="0.3">
      <c r="A29" s="4">
        <f t="shared" si="0"/>
        <v>7</v>
      </c>
      <c r="B29" s="4">
        <f t="shared" si="1"/>
        <v>31</v>
      </c>
      <c r="C29" s="14">
        <v>45867</v>
      </c>
      <c r="D29" s="4">
        <v>61</v>
      </c>
      <c r="E29" s="4">
        <f>VLOOKUP(B29, wau!A:C,3,0)</f>
        <v>190</v>
      </c>
      <c r="F29" s="4">
        <f>VLOOKUP(A29,mau!A:C,3,0)</f>
        <v>193</v>
      </c>
      <c r="G29" s="12">
        <f t="shared" si="2"/>
        <v>0.32105263157894737</v>
      </c>
      <c r="H29" s="12">
        <f t="shared" si="3"/>
        <v>0.31606217616580312</v>
      </c>
    </row>
    <row r="30" spans="1:8" x14ac:dyDescent="0.3">
      <c r="A30" s="4">
        <f t="shared" si="0"/>
        <v>7</v>
      </c>
      <c r="B30" s="4">
        <f t="shared" si="1"/>
        <v>31</v>
      </c>
      <c r="C30" s="14">
        <v>45868</v>
      </c>
      <c r="D30" s="4">
        <v>64</v>
      </c>
      <c r="E30" s="4">
        <f>VLOOKUP(B30, wau!A:C,3,0)</f>
        <v>190</v>
      </c>
      <c r="F30" s="4">
        <f>VLOOKUP(A30,mau!A:C,3,0)</f>
        <v>193</v>
      </c>
      <c r="G30" s="12">
        <f t="shared" si="2"/>
        <v>0.33684210526315789</v>
      </c>
      <c r="H30" s="12">
        <f t="shared" si="3"/>
        <v>0.33160621761658032</v>
      </c>
    </row>
    <row r="31" spans="1:8" x14ac:dyDescent="0.3">
      <c r="A31" s="4">
        <f t="shared" si="0"/>
        <v>7</v>
      </c>
      <c r="B31" s="4">
        <f t="shared" si="1"/>
        <v>31</v>
      </c>
      <c r="C31" s="14">
        <v>45869</v>
      </c>
      <c r="D31" s="4">
        <v>64</v>
      </c>
      <c r="E31" s="4">
        <f>VLOOKUP(B31, wau!A:C,3,0)</f>
        <v>190</v>
      </c>
      <c r="F31" s="4">
        <f>VLOOKUP(A31,mau!A:C,3,0)</f>
        <v>193</v>
      </c>
      <c r="G31" s="12">
        <f t="shared" si="2"/>
        <v>0.33684210526315789</v>
      </c>
      <c r="H31" s="12">
        <f t="shared" si="3"/>
        <v>0.33160621761658032</v>
      </c>
    </row>
    <row r="32" spans="1:8" x14ac:dyDescent="0.3">
      <c r="A32" s="4">
        <f t="shared" si="0"/>
        <v>8</v>
      </c>
      <c r="B32" s="4">
        <f t="shared" si="1"/>
        <v>31</v>
      </c>
      <c r="C32" s="14">
        <v>45870</v>
      </c>
      <c r="D32" s="4">
        <v>52</v>
      </c>
      <c r="E32" s="4">
        <f>VLOOKUP(B32, wau!A:C,3,0)</f>
        <v>190</v>
      </c>
      <c r="F32" s="4">
        <f>VLOOKUP(A32,mau!A:C,3,0)</f>
        <v>366</v>
      </c>
      <c r="G32" s="12">
        <f t="shared" si="2"/>
        <v>0.27368421052631581</v>
      </c>
      <c r="H32" s="12">
        <f t="shared" si="3"/>
        <v>0.14207650273224043</v>
      </c>
    </row>
    <row r="33" spans="1:8" x14ac:dyDescent="0.3">
      <c r="A33" s="4">
        <f t="shared" si="0"/>
        <v>8</v>
      </c>
      <c r="B33" s="4">
        <f t="shared" si="1"/>
        <v>31</v>
      </c>
      <c r="C33" s="14">
        <v>45871</v>
      </c>
      <c r="D33" s="4">
        <v>62</v>
      </c>
      <c r="E33" s="4">
        <f>VLOOKUP(B33, wau!A:C,3,0)</f>
        <v>190</v>
      </c>
      <c r="F33" s="4">
        <f>VLOOKUP(A33,mau!A:C,3,0)</f>
        <v>366</v>
      </c>
      <c r="G33" s="12">
        <f t="shared" si="2"/>
        <v>0.32631578947368423</v>
      </c>
      <c r="H33" s="12">
        <f t="shared" si="3"/>
        <v>0.16939890710382513</v>
      </c>
    </row>
    <row r="34" spans="1:8" x14ac:dyDescent="0.3">
      <c r="A34" s="4">
        <f t="shared" si="0"/>
        <v>8</v>
      </c>
      <c r="B34" s="4">
        <f t="shared" si="1"/>
        <v>31</v>
      </c>
      <c r="C34" s="14">
        <v>45872</v>
      </c>
      <c r="D34" s="4">
        <v>55</v>
      </c>
      <c r="E34" s="4">
        <f>VLOOKUP(B34, wau!A:C,3,0)</f>
        <v>190</v>
      </c>
      <c r="F34" s="4">
        <f>VLOOKUP(A34,mau!A:C,3,0)</f>
        <v>366</v>
      </c>
      <c r="G34" s="12">
        <f t="shared" si="2"/>
        <v>0.28947368421052633</v>
      </c>
      <c r="H34" s="12">
        <f t="shared" si="3"/>
        <v>0.15027322404371585</v>
      </c>
    </row>
    <row r="35" spans="1:8" x14ac:dyDescent="0.3">
      <c r="A35" s="4">
        <f t="shared" si="0"/>
        <v>8</v>
      </c>
      <c r="B35" s="4">
        <f t="shared" si="1"/>
        <v>32</v>
      </c>
      <c r="C35" s="14">
        <v>45873</v>
      </c>
      <c r="D35" s="4">
        <v>60</v>
      </c>
      <c r="E35" s="4">
        <f>VLOOKUP(B35, wau!A:C,3,0)</f>
        <v>183</v>
      </c>
      <c r="F35" s="4">
        <f>VLOOKUP(A35,mau!A:C,3,0)</f>
        <v>366</v>
      </c>
      <c r="G35" s="12">
        <f t="shared" si="2"/>
        <v>0.32786885245901637</v>
      </c>
      <c r="H35" s="12">
        <f t="shared" si="3"/>
        <v>0.16393442622950818</v>
      </c>
    </row>
    <row r="36" spans="1:8" x14ac:dyDescent="0.3">
      <c r="A36" s="4">
        <f t="shared" si="0"/>
        <v>8</v>
      </c>
      <c r="B36" s="4">
        <f t="shared" si="1"/>
        <v>32</v>
      </c>
      <c r="C36" s="14">
        <v>45874</v>
      </c>
      <c r="D36" s="4">
        <v>52</v>
      </c>
      <c r="E36" s="4">
        <f>VLOOKUP(B36, wau!A:C,3,0)</f>
        <v>183</v>
      </c>
      <c r="F36" s="4">
        <f>VLOOKUP(A36,mau!A:C,3,0)</f>
        <v>366</v>
      </c>
      <c r="G36" s="12">
        <f t="shared" si="2"/>
        <v>0.28415300546448086</v>
      </c>
      <c r="H36" s="12">
        <f t="shared" si="3"/>
        <v>0.14207650273224043</v>
      </c>
    </row>
    <row r="37" spans="1:8" x14ac:dyDescent="0.3">
      <c r="A37" s="4">
        <f t="shared" si="0"/>
        <v>8</v>
      </c>
      <c r="B37" s="4">
        <f t="shared" si="1"/>
        <v>32</v>
      </c>
      <c r="C37" s="14">
        <v>45875</v>
      </c>
      <c r="D37" s="4">
        <v>62</v>
      </c>
      <c r="E37" s="4">
        <f>VLOOKUP(B37, wau!A:C,3,0)</f>
        <v>183</v>
      </c>
      <c r="F37" s="4">
        <f>VLOOKUP(A37,mau!A:C,3,0)</f>
        <v>366</v>
      </c>
      <c r="G37" s="12">
        <f t="shared" si="2"/>
        <v>0.33879781420765026</v>
      </c>
      <c r="H37" s="12">
        <f t="shared" si="3"/>
        <v>0.16939890710382513</v>
      </c>
    </row>
    <row r="38" spans="1:8" x14ac:dyDescent="0.3">
      <c r="A38" s="4">
        <f t="shared" si="0"/>
        <v>8</v>
      </c>
      <c r="B38" s="4">
        <f t="shared" si="1"/>
        <v>32</v>
      </c>
      <c r="C38" s="14">
        <v>45876</v>
      </c>
      <c r="D38" s="4">
        <v>59</v>
      </c>
      <c r="E38" s="4">
        <f>VLOOKUP(B38, wau!A:C,3,0)</f>
        <v>183</v>
      </c>
      <c r="F38" s="4">
        <f>VLOOKUP(A38,mau!A:C,3,0)</f>
        <v>366</v>
      </c>
      <c r="G38" s="12">
        <f t="shared" si="2"/>
        <v>0.32240437158469948</v>
      </c>
      <c r="H38" s="12">
        <f t="shared" si="3"/>
        <v>0.16120218579234974</v>
      </c>
    </row>
    <row r="39" spans="1:8" x14ac:dyDescent="0.3">
      <c r="A39" s="4">
        <f t="shared" si="0"/>
        <v>8</v>
      </c>
      <c r="B39" s="4">
        <f t="shared" si="1"/>
        <v>32</v>
      </c>
      <c r="C39" s="14">
        <v>45877</v>
      </c>
      <c r="D39" s="4">
        <v>58</v>
      </c>
      <c r="E39" s="4">
        <f>VLOOKUP(B39, wau!A:C,3,0)</f>
        <v>183</v>
      </c>
      <c r="F39" s="4">
        <f>VLOOKUP(A39,mau!A:C,3,0)</f>
        <v>366</v>
      </c>
      <c r="G39" s="12">
        <f t="shared" si="2"/>
        <v>0.31693989071038253</v>
      </c>
      <c r="H39" s="12">
        <f t="shared" si="3"/>
        <v>0.15846994535519127</v>
      </c>
    </row>
    <row r="40" spans="1:8" x14ac:dyDescent="0.3">
      <c r="A40" s="4">
        <f t="shared" si="0"/>
        <v>8</v>
      </c>
      <c r="B40" s="4">
        <f t="shared" si="1"/>
        <v>32</v>
      </c>
      <c r="C40" s="14">
        <v>45878</v>
      </c>
      <c r="D40" s="4">
        <v>53</v>
      </c>
      <c r="E40" s="4">
        <f>VLOOKUP(B40, wau!A:C,3,0)</f>
        <v>183</v>
      </c>
      <c r="F40" s="4">
        <f>VLOOKUP(A40,mau!A:C,3,0)</f>
        <v>366</v>
      </c>
      <c r="G40" s="12">
        <f t="shared" si="2"/>
        <v>0.2896174863387978</v>
      </c>
      <c r="H40" s="12">
        <f t="shared" si="3"/>
        <v>0.1448087431693989</v>
      </c>
    </row>
    <row r="41" spans="1:8" x14ac:dyDescent="0.3">
      <c r="A41" s="4">
        <f t="shared" si="0"/>
        <v>8</v>
      </c>
      <c r="B41" s="4">
        <f t="shared" si="1"/>
        <v>32</v>
      </c>
      <c r="C41" s="14">
        <v>45879</v>
      </c>
      <c r="D41" s="4">
        <v>55</v>
      </c>
      <c r="E41" s="4">
        <f>VLOOKUP(B41, wau!A:C,3,0)</f>
        <v>183</v>
      </c>
      <c r="F41" s="4">
        <f>VLOOKUP(A41,mau!A:C,3,0)</f>
        <v>366</v>
      </c>
      <c r="G41" s="12">
        <f t="shared" si="2"/>
        <v>0.30054644808743169</v>
      </c>
      <c r="H41" s="12">
        <f t="shared" si="3"/>
        <v>0.15027322404371585</v>
      </c>
    </row>
    <row r="42" spans="1:8" x14ac:dyDescent="0.3">
      <c r="A42" s="4">
        <f t="shared" si="0"/>
        <v>8</v>
      </c>
      <c r="B42" s="4">
        <f t="shared" si="1"/>
        <v>33</v>
      </c>
      <c r="C42" s="14">
        <v>45880</v>
      </c>
      <c r="D42" s="4">
        <v>65</v>
      </c>
      <c r="E42" s="4">
        <f>VLOOKUP(B42, wau!A:C,3,0)</f>
        <v>196</v>
      </c>
      <c r="F42" s="4">
        <f>VLOOKUP(A42,mau!A:C,3,0)</f>
        <v>366</v>
      </c>
      <c r="G42" s="12">
        <f t="shared" si="2"/>
        <v>0.33163265306122447</v>
      </c>
      <c r="H42" s="12">
        <f t="shared" si="3"/>
        <v>0.17759562841530055</v>
      </c>
    </row>
    <row r="43" spans="1:8" x14ac:dyDescent="0.3">
      <c r="A43" s="4">
        <f t="shared" si="0"/>
        <v>8</v>
      </c>
      <c r="B43" s="4">
        <f t="shared" si="1"/>
        <v>33</v>
      </c>
      <c r="C43" s="14">
        <v>45881</v>
      </c>
      <c r="D43" s="4">
        <v>54</v>
      </c>
      <c r="E43" s="4">
        <f>VLOOKUP(B43, wau!A:C,3,0)</f>
        <v>196</v>
      </c>
      <c r="F43" s="4">
        <f>VLOOKUP(A43,mau!A:C,3,0)</f>
        <v>366</v>
      </c>
      <c r="G43" s="12">
        <f t="shared" si="2"/>
        <v>0.27551020408163263</v>
      </c>
      <c r="H43" s="12">
        <f t="shared" si="3"/>
        <v>0.14754098360655737</v>
      </c>
    </row>
    <row r="44" spans="1:8" x14ac:dyDescent="0.3">
      <c r="A44" s="4">
        <f t="shared" si="0"/>
        <v>8</v>
      </c>
      <c r="B44" s="4">
        <f t="shared" si="1"/>
        <v>33</v>
      </c>
      <c r="C44" s="14">
        <v>45882</v>
      </c>
      <c r="D44" s="4">
        <v>74</v>
      </c>
      <c r="E44" s="4">
        <f>VLOOKUP(B44, wau!A:C,3,0)</f>
        <v>196</v>
      </c>
      <c r="F44" s="4">
        <f>VLOOKUP(A44,mau!A:C,3,0)</f>
        <v>366</v>
      </c>
      <c r="G44" s="12">
        <f t="shared" si="2"/>
        <v>0.37755102040816324</v>
      </c>
      <c r="H44" s="12">
        <f t="shared" si="3"/>
        <v>0.20218579234972678</v>
      </c>
    </row>
    <row r="45" spans="1:8" x14ac:dyDescent="0.3">
      <c r="A45" s="4">
        <f t="shared" si="0"/>
        <v>8</v>
      </c>
      <c r="B45" s="4">
        <f t="shared" si="1"/>
        <v>33</v>
      </c>
      <c r="C45" s="14">
        <v>45883</v>
      </c>
      <c r="D45" s="4">
        <v>59</v>
      </c>
      <c r="E45" s="4">
        <f>VLOOKUP(B45, wau!A:C,3,0)</f>
        <v>196</v>
      </c>
      <c r="F45" s="4">
        <f>VLOOKUP(A45,mau!A:C,3,0)</f>
        <v>366</v>
      </c>
      <c r="G45" s="12">
        <f t="shared" si="2"/>
        <v>0.30102040816326531</v>
      </c>
      <c r="H45" s="12">
        <f t="shared" si="3"/>
        <v>0.16120218579234974</v>
      </c>
    </row>
    <row r="46" spans="1:8" x14ac:dyDescent="0.3">
      <c r="A46" s="4">
        <f t="shared" si="0"/>
        <v>8</v>
      </c>
      <c r="B46" s="4">
        <f t="shared" si="1"/>
        <v>33</v>
      </c>
      <c r="C46" s="14">
        <v>45884</v>
      </c>
      <c r="D46" s="4">
        <v>54</v>
      </c>
      <c r="E46" s="4">
        <f>VLOOKUP(B46, wau!A:C,3,0)</f>
        <v>196</v>
      </c>
      <c r="F46" s="4">
        <f>VLOOKUP(A46,mau!A:C,3,0)</f>
        <v>366</v>
      </c>
      <c r="G46" s="12">
        <f t="shared" si="2"/>
        <v>0.27551020408163263</v>
      </c>
      <c r="H46" s="12">
        <f t="shared" si="3"/>
        <v>0.14754098360655737</v>
      </c>
    </row>
    <row r="47" spans="1:8" x14ac:dyDescent="0.3">
      <c r="A47" s="4">
        <f t="shared" si="0"/>
        <v>8</v>
      </c>
      <c r="B47" s="4">
        <f t="shared" si="1"/>
        <v>33</v>
      </c>
      <c r="C47" s="14">
        <v>45885</v>
      </c>
      <c r="D47" s="4">
        <v>68</v>
      </c>
      <c r="E47" s="4">
        <f>VLOOKUP(B47, wau!A:C,3,0)</f>
        <v>196</v>
      </c>
      <c r="F47" s="4">
        <f>VLOOKUP(A47,mau!A:C,3,0)</f>
        <v>366</v>
      </c>
      <c r="G47" s="12">
        <f t="shared" si="2"/>
        <v>0.34693877551020408</v>
      </c>
      <c r="H47" s="12">
        <f t="shared" si="3"/>
        <v>0.18579234972677597</v>
      </c>
    </row>
    <row r="48" spans="1:8" x14ac:dyDescent="0.3">
      <c r="A48" s="4">
        <f t="shared" si="0"/>
        <v>8</v>
      </c>
      <c r="B48" s="4">
        <f t="shared" si="1"/>
        <v>33</v>
      </c>
      <c r="C48" s="14">
        <v>45886</v>
      </c>
      <c r="D48" s="4">
        <v>59</v>
      </c>
      <c r="E48" s="4">
        <f>VLOOKUP(B48, wau!A:C,3,0)</f>
        <v>196</v>
      </c>
      <c r="F48" s="4">
        <f>VLOOKUP(A48,mau!A:C,3,0)</f>
        <v>366</v>
      </c>
      <c r="G48" s="12">
        <f t="shared" si="2"/>
        <v>0.30102040816326531</v>
      </c>
      <c r="H48" s="12">
        <f t="shared" si="3"/>
        <v>0.16120218579234974</v>
      </c>
    </row>
    <row r="49" spans="1:8" x14ac:dyDescent="0.3">
      <c r="A49" s="4">
        <f t="shared" si="0"/>
        <v>8</v>
      </c>
      <c r="B49" s="4">
        <f t="shared" si="1"/>
        <v>34</v>
      </c>
      <c r="C49" s="14">
        <v>45887</v>
      </c>
      <c r="D49" s="4">
        <v>61</v>
      </c>
      <c r="E49" s="4">
        <f>VLOOKUP(B49, wau!A:C,3,0)</f>
        <v>202</v>
      </c>
      <c r="F49" s="4">
        <f>VLOOKUP(A49,mau!A:C,3,0)</f>
        <v>366</v>
      </c>
      <c r="G49" s="12">
        <f t="shared" si="2"/>
        <v>0.30198019801980197</v>
      </c>
      <c r="H49" s="12">
        <f t="shared" si="3"/>
        <v>0.16666666666666666</v>
      </c>
    </row>
    <row r="50" spans="1:8" x14ac:dyDescent="0.3">
      <c r="A50" s="4">
        <f t="shared" si="0"/>
        <v>8</v>
      </c>
      <c r="B50" s="4">
        <f t="shared" si="1"/>
        <v>34</v>
      </c>
      <c r="C50" s="14">
        <v>45888</v>
      </c>
      <c r="D50" s="4">
        <v>58</v>
      </c>
      <c r="E50" s="4">
        <f>VLOOKUP(B50, wau!A:C,3,0)</f>
        <v>202</v>
      </c>
      <c r="F50" s="4">
        <f>VLOOKUP(A50,mau!A:C,3,0)</f>
        <v>366</v>
      </c>
      <c r="G50" s="12">
        <f t="shared" si="2"/>
        <v>0.28712871287128711</v>
      </c>
      <c r="H50" s="12">
        <f t="shared" si="3"/>
        <v>0.15846994535519127</v>
      </c>
    </row>
    <row r="51" spans="1:8" x14ac:dyDescent="0.3">
      <c r="A51" s="4">
        <f t="shared" si="0"/>
        <v>8</v>
      </c>
      <c r="B51" s="4">
        <f t="shared" si="1"/>
        <v>34</v>
      </c>
      <c r="C51" s="14">
        <v>45889</v>
      </c>
      <c r="D51" s="4">
        <v>67</v>
      </c>
      <c r="E51" s="4">
        <f>VLOOKUP(B51, wau!A:C,3,0)</f>
        <v>202</v>
      </c>
      <c r="F51" s="4">
        <f>VLOOKUP(A51,mau!A:C,3,0)</f>
        <v>366</v>
      </c>
      <c r="G51" s="12">
        <f t="shared" si="2"/>
        <v>0.3316831683168317</v>
      </c>
      <c r="H51" s="12">
        <f t="shared" si="3"/>
        <v>0.1830601092896175</v>
      </c>
    </row>
    <row r="52" spans="1:8" x14ac:dyDescent="0.3">
      <c r="A52" s="4">
        <f t="shared" si="0"/>
        <v>8</v>
      </c>
      <c r="B52" s="4">
        <f t="shared" si="1"/>
        <v>34</v>
      </c>
      <c r="C52" s="14">
        <v>45890</v>
      </c>
      <c r="D52" s="4">
        <v>62</v>
      </c>
      <c r="E52" s="4">
        <f>VLOOKUP(B52, wau!A:C,3,0)</f>
        <v>202</v>
      </c>
      <c r="F52" s="4">
        <f>VLOOKUP(A52,mau!A:C,3,0)</f>
        <v>366</v>
      </c>
      <c r="G52" s="12">
        <f t="shared" si="2"/>
        <v>0.30693069306930693</v>
      </c>
      <c r="H52" s="12">
        <f t="shared" si="3"/>
        <v>0.16939890710382513</v>
      </c>
    </row>
    <row r="53" spans="1:8" x14ac:dyDescent="0.3">
      <c r="A53" s="4">
        <f t="shared" si="0"/>
        <v>8</v>
      </c>
      <c r="B53" s="4">
        <f t="shared" si="1"/>
        <v>34</v>
      </c>
      <c r="C53" s="14">
        <v>45891</v>
      </c>
      <c r="D53" s="4">
        <v>53</v>
      </c>
      <c r="E53" s="4">
        <f>VLOOKUP(B53, wau!A:C,3,0)</f>
        <v>202</v>
      </c>
      <c r="F53" s="4">
        <f>VLOOKUP(A53,mau!A:C,3,0)</f>
        <v>366</v>
      </c>
      <c r="G53" s="12">
        <f t="shared" si="2"/>
        <v>0.26237623762376239</v>
      </c>
      <c r="H53" s="12">
        <f t="shared" si="3"/>
        <v>0.1448087431693989</v>
      </c>
    </row>
    <row r="54" spans="1:8" x14ac:dyDescent="0.3">
      <c r="A54" s="4">
        <f t="shared" si="0"/>
        <v>8</v>
      </c>
      <c r="B54" s="4">
        <f t="shared" si="1"/>
        <v>34</v>
      </c>
      <c r="C54" s="14">
        <v>45892</v>
      </c>
      <c r="D54" s="4">
        <v>60</v>
      </c>
      <c r="E54" s="4">
        <f>VLOOKUP(B54, wau!A:C,3,0)</f>
        <v>202</v>
      </c>
      <c r="F54" s="4">
        <f>VLOOKUP(A54,mau!A:C,3,0)</f>
        <v>366</v>
      </c>
      <c r="G54" s="12">
        <f t="shared" si="2"/>
        <v>0.29702970297029702</v>
      </c>
      <c r="H54" s="12">
        <f t="shared" si="3"/>
        <v>0.16393442622950818</v>
      </c>
    </row>
    <row r="55" spans="1:8" x14ac:dyDescent="0.3">
      <c r="A55" s="4">
        <f t="shared" si="0"/>
        <v>8</v>
      </c>
      <c r="B55" s="4">
        <f t="shared" si="1"/>
        <v>34</v>
      </c>
      <c r="C55" s="14">
        <v>45893</v>
      </c>
      <c r="D55" s="4">
        <v>67</v>
      </c>
      <c r="E55" s="4">
        <f>VLOOKUP(B55, wau!A:C,3,0)</f>
        <v>202</v>
      </c>
      <c r="F55" s="4">
        <f>VLOOKUP(A55,mau!A:C,3,0)</f>
        <v>366</v>
      </c>
      <c r="G55" s="12">
        <f t="shared" si="2"/>
        <v>0.3316831683168317</v>
      </c>
      <c r="H55" s="12">
        <f t="shared" si="3"/>
        <v>0.1830601092896175</v>
      </c>
    </row>
    <row r="56" spans="1:8" x14ac:dyDescent="0.3">
      <c r="A56" s="4">
        <f t="shared" si="0"/>
        <v>8</v>
      </c>
      <c r="B56" s="4">
        <f t="shared" si="1"/>
        <v>35</v>
      </c>
      <c r="C56" s="14">
        <v>45894</v>
      </c>
      <c r="D56" s="4">
        <v>67</v>
      </c>
      <c r="E56" s="4">
        <f>VLOOKUP(B56, wau!A:C,3,0)</f>
        <v>203</v>
      </c>
      <c r="F56" s="4">
        <f>VLOOKUP(A56,mau!A:C,3,0)</f>
        <v>366</v>
      </c>
      <c r="G56" s="12">
        <f t="shared" si="2"/>
        <v>0.33004926108374383</v>
      </c>
      <c r="H56" s="12">
        <f t="shared" si="3"/>
        <v>0.1830601092896175</v>
      </c>
    </row>
    <row r="57" spans="1:8" x14ac:dyDescent="0.3">
      <c r="A57" s="4">
        <f t="shared" si="0"/>
        <v>8</v>
      </c>
      <c r="B57" s="4">
        <f t="shared" si="1"/>
        <v>35</v>
      </c>
      <c r="C57" s="14">
        <v>45895</v>
      </c>
      <c r="D57" s="4">
        <v>61</v>
      </c>
      <c r="E57" s="4">
        <f>VLOOKUP(B57, wau!A:C,3,0)</f>
        <v>203</v>
      </c>
      <c r="F57" s="4">
        <f>VLOOKUP(A57,mau!A:C,3,0)</f>
        <v>366</v>
      </c>
      <c r="G57" s="12">
        <f t="shared" si="2"/>
        <v>0.30049261083743845</v>
      </c>
      <c r="H57" s="12">
        <f t="shared" si="3"/>
        <v>0.16666666666666666</v>
      </c>
    </row>
    <row r="58" spans="1:8" x14ac:dyDescent="0.3">
      <c r="A58" s="4">
        <f t="shared" si="0"/>
        <v>8</v>
      </c>
      <c r="B58" s="4">
        <f t="shared" si="1"/>
        <v>35</v>
      </c>
      <c r="C58" s="14">
        <v>45896</v>
      </c>
      <c r="D58" s="4">
        <v>63</v>
      </c>
      <c r="E58" s="4">
        <f>VLOOKUP(B58, wau!A:C,3,0)</f>
        <v>203</v>
      </c>
      <c r="F58" s="4">
        <f>VLOOKUP(A58,mau!A:C,3,0)</f>
        <v>366</v>
      </c>
      <c r="G58" s="12">
        <f t="shared" si="2"/>
        <v>0.31034482758620691</v>
      </c>
      <c r="H58" s="12">
        <f t="shared" si="3"/>
        <v>0.1721311475409836</v>
      </c>
    </row>
    <row r="59" spans="1:8" x14ac:dyDescent="0.3">
      <c r="A59" s="4">
        <f t="shared" si="0"/>
        <v>8</v>
      </c>
      <c r="B59" s="4">
        <f t="shared" si="1"/>
        <v>35</v>
      </c>
      <c r="C59" s="14">
        <v>45897</v>
      </c>
      <c r="D59" s="4">
        <v>61</v>
      </c>
      <c r="E59" s="4">
        <f>VLOOKUP(B59, wau!A:C,3,0)</f>
        <v>203</v>
      </c>
      <c r="F59" s="4">
        <f>VLOOKUP(A59,mau!A:C,3,0)</f>
        <v>366</v>
      </c>
      <c r="G59" s="12">
        <f t="shared" si="2"/>
        <v>0.30049261083743845</v>
      </c>
      <c r="H59" s="12">
        <f t="shared" si="3"/>
        <v>0.16666666666666666</v>
      </c>
    </row>
    <row r="60" spans="1:8" x14ac:dyDescent="0.3">
      <c r="A60" s="4">
        <f t="shared" si="0"/>
        <v>8</v>
      </c>
      <c r="B60" s="4">
        <f t="shared" si="1"/>
        <v>35</v>
      </c>
      <c r="C60" s="14">
        <v>45898</v>
      </c>
      <c r="D60" s="4">
        <v>54</v>
      </c>
      <c r="E60" s="4">
        <f>VLOOKUP(B60, wau!A:C,3,0)</f>
        <v>203</v>
      </c>
      <c r="F60" s="4">
        <f>VLOOKUP(A60,mau!A:C,3,0)</f>
        <v>366</v>
      </c>
      <c r="G60" s="12">
        <f t="shared" si="2"/>
        <v>0.26600985221674878</v>
      </c>
      <c r="H60" s="12">
        <f t="shared" si="3"/>
        <v>0.14754098360655737</v>
      </c>
    </row>
    <row r="61" spans="1:8" x14ac:dyDescent="0.3">
      <c r="A61" s="4">
        <f t="shared" si="0"/>
        <v>8</v>
      </c>
      <c r="B61" s="4">
        <f t="shared" si="1"/>
        <v>35</v>
      </c>
      <c r="C61" s="14">
        <v>45899</v>
      </c>
      <c r="D61" s="4">
        <v>72</v>
      </c>
      <c r="E61" s="4">
        <f>VLOOKUP(B61, wau!A:C,3,0)</f>
        <v>203</v>
      </c>
      <c r="F61" s="4">
        <f>VLOOKUP(A61,mau!A:C,3,0)</f>
        <v>366</v>
      </c>
      <c r="G61" s="12">
        <f t="shared" si="2"/>
        <v>0.35467980295566504</v>
      </c>
      <c r="H61" s="12">
        <f t="shared" si="3"/>
        <v>0.19672131147540983</v>
      </c>
    </row>
    <row r="62" spans="1:8" x14ac:dyDescent="0.3">
      <c r="A62" s="4">
        <f t="shared" si="0"/>
        <v>8</v>
      </c>
      <c r="B62" s="4">
        <f t="shared" si="1"/>
        <v>35</v>
      </c>
      <c r="C62" s="14">
        <v>45900</v>
      </c>
      <c r="D62" s="4">
        <v>54</v>
      </c>
      <c r="E62" s="4">
        <f>VLOOKUP(B62, wau!A:C,3,0)</f>
        <v>203</v>
      </c>
      <c r="F62" s="4">
        <f>VLOOKUP(A62,mau!A:C,3,0)</f>
        <v>366</v>
      </c>
      <c r="G62" s="12">
        <f t="shared" si="2"/>
        <v>0.26600985221674878</v>
      </c>
      <c r="H62" s="12">
        <f t="shared" si="3"/>
        <v>0.14754098360655737</v>
      </c>
    </row>
    <row r="63" spans="1:8" x14ac:dyDescent="0.3">
      <c r="A63" s="4">
        <f t="shared" si="0"/>
        <v>9</v>
      </c>
      <c r="B63" s="4">
        <f t="shared" si="1"/>
        <v>36</v>
      </c>
      <c r="C63" s="14">
        <v>45901</v>
      </c>
      <c r="D63" s="4">
        <v>66</v>
      </c>
      <c r="E63" s="4">
        <f>VLOOKUP(B63, wau!A:C,3,0)</f>
        <v>188</v>
      </c>
      <c r="F63" s="4">
        <f>VLOOKUP(A63,mau!A:C,3,0)</f>
        <v>378</v>
      </c>
      <c r="G63" s="12">
        <f t="shared" si="2"/>
        <v>0.35106382978723405</v>
      </c>
      <c r="H63" s="12">
        <f t="shared" si="3"/>
        <v>0.17460317460317459</v>
      </c>
    </row>
    <row r="64" spans="1:8" x14ac:dyDescent="0.3">
      <c r="A64" s="4">
        <f t="shared" si="0"/>
        <v>9</v>
      </c>
      <c r="B64" s="4">
        <f t="shared" si="1"/>
        <v>36</v>
      </c>
      <c r="C64" s="14">
        <v>45902</v>
      </c>
      <c r="D64" s="4">
        <v>61</v>
      </c>
      <c r="E64" s="4">
        <f>VLOOKUP(B64, wau!A:C,3,0)</f>
        <v>188</v>
      </c>
      <c r="F64" s="4">
        <f>VLOOKUP(A64,mau!A:C,3,0)</f>
        <v>378</v>
      </c>
      <c r="G64" s="12">
        <f t="shared" si="2"/>
        <v>0.32446808510638298</v>
      </c>
      <c r="H64" s="12">
        <f t="shared" si="3"/>
        <v>0.16137566137566137</v>
      </c>
    </row>
    <row r="65" spans="1:8" x14ac:dyDescent="0.3">
      <c r="A65" s="4">
        <f t="shared" si="0"/>
        <v>9</v>
      </c>
      <c r="B65" s="4">
        <f t="shared" si="1"/>
        <v>36</v>
      </c>
      <c r="C65" s="14">
        <v>45903</v>
      </c>
      <c r="D65" s="4">
        <v>58</v>
      </c>
      <c r="E65" s="4">
        <f>VLOOKUP(B65, wau!A:C,3,0)</f>
        <v>188</v>
      </c>
      <c r="F65" s="4">
        <f>VLOOKUP(A65,mau!A:C,3,0)</f>
        <v>378</v>
      </c>
      <c r="G65" s="12">
        <f t="shared" si="2"/>
        <v>0.30851063829787234</v>
      </c>
      <c r="H65" s="12">
        <f t="shared" si="3"/>
        <v>0.15343915343915343</v>
      </c>
    </row>
    <row r="66" spans="1:8" x14ac:dyDescent="0.3">
      <c r="A66" s="4">
        <f t="shared" si="0"/>
        <v>9</v>
      </c>
      <c r="B66" s="4">
        <f t="shared" si="1"/>
        <v>36</v>
      </c>
      <c r="C66" s="14">
        <v>45904</v>
      </c>
      <c r="D66" s="4">
        <v>64</v>
      </c>
      <c r="E66" s="4">
        <f>VLOOKUP(B66, wau!A:C,3,0)</f>
        <v>188</v>
      </c>
      <c r="F66" s="4">
        <f>VLOOKUP(A66,mau!A:C,3,0)</f>
        <v>378</v>
      </c>
      <c r="G66" s="12">
        <f t="shared" si="2"/>
        <v>0.34042553191489361</v>
      </c>
      <c r="H66" s="12">
        <f t="shared" si="3"/>
        <v>0.1693121693121693</v>
      </c>
    </row>
    <row r="67" spans="1:8" x14ac:dyDescent="0.3">
      <c r="A67" s="4">
        <f t="shared" ref="A67:A130" si="4">MONTH(C67)</f>
        <v>9</v>
      </c>
      <c r="B67" s="4">
        <f t="shared" ref="B67:B130" si="5">_xlfn.ISOWEEKNUM(C67)</f>
        <v>36</v>
      </c>
      <c r="C67" s="14">
        <v>45905</v>
      </c>
      <c r="D67" s="4">
        <v>62</v>
      </c>
      <c r="E67" s="4">
        <f>VLOOKUP(B67, wau!A:C,3,0)</f>
        <v>188</v>
      </c>
      <c r="F67" s="4">
        <f>VLOOKUP(A67,mau!A:C,3,0)</f>
        <v>378</v>
      </c>
      <c r="G67" s="12">
        <f t="shared" ref="G67:G130" si="6">D67/E67</f>
        <v>0.32978723404255317</v>
      </c>
      <c r="H67" s="12">
        <f t="shared" ref="H67:H130" si="7">D67/F67</f>
        <v>0.16402116402116401</v>
      </c>
    </row>
    <row r="68" spans="1:8" x14ac:dyDescent="0.3">
      <c r="A68" s="4">
        <f t="shared" si="4"/>
        <v>9</v>
      </c>
      <c r="B68" s="4">
        <f t="shared" si="5"/>
        <v>36</v>
      </c>
      <c r="C68" s="14">
        <v>45906</v>
      </c>
      <c r="D68" s="4">
        <v>46</v>
      </c>
      <c r="E68" s="4">
        <f>VLOOKUP(B68, wau!A:C,3,0)</f>
        <v>188</v>
      </c>
      <c r="F68" s="4">
        <f>VLOOKUP(A68,mau!A:C,3,0)</f>
        <v>378</v>
      </c>
      <c r="G68" s="12">
        <f t="shared" si="6"/>
        <v>0.24468085106382978</v>
      </c>
      <c r="H68" s="12">
        <f t="shared" si="7"/>
        <v>0.12169312169312169</v>
      </c>
    </row>
    <row r="69" spans="1:8" x14ac:dyDescent="0.3">
      <c r="A69" s="4">
        <f t="shared" si="4"/>
        <v>9</v>
      </c>
      <c r="B69" s="4">
        <f t="shared" si="5"/>
        <v>36</v>
      </c>
      <c r="C69" s="14">
        <v>45907</v>
      </c>
      <c r="D69" s="4">
        <v>49</v>
      </c>
      <c r="E69" s="4">
        <f>VLOOKUP(B69, wau!A:C,3,0)</f>
        <v>188</v>
      </c>
      <c r="F69" s="4">
        <f>VLOOKUP(A69,mau!A:C,3,0)</f>
        <v>378</v>
      </c>
      <c r="G69" s="12">
        <f t="shared" si="6"/>
        <v>0.26063829787234044</v>
      </c>
      <c r="H69" s="12">
        <f t="shared" si="7"/>
        <v>0.12962962962962962</v>
      </c>
    </row>
    <row r="70" spans="1:8" x14ac:dyDescent="0.3">
      <c r="A70" s="4">
        <f t="shared" si="4"/>
        <v>9</v>
      </c>
      <c r="B70" s="4">
        <f t="shared" si="5"/>
        <v>37</v>
      </c>
      <c r="C70" s="14">
        <v>45908</v>
      </c>
      <c r="D70" s="4">
        <v>59</v>
      </c>
      <c r="E70" s="4">
        <f>VLOOKUP(B70, wau!A:C,3,0)</f>
        <v>199</v>
      </c>
      <c r="F70" s="4">
        <f>VLOOKUP(A70,mau!A:C,3,0)</f>
        <v>378</v>
      </c>
      <c r="G70" s="12">
        <f t="shared" si="6"/>
        <v>0.29648241206030151</v>
      </c>
      <c r="H70" s="12">
        <f t="shared" si="7"/>
        <v>0.15608465608465608</v>
      </c>
    </row>
    <row r="71" spans="1:8" x14ac:dyDescent="0.3">
      <c r="A71" s="4">
        <f t="shared" si="4"/>
        <v>9</v>
      </c>
      <c r="B71" s="4">
        <f t="shared" si="5"/>
        <v>37</v>
      </c>
      <c r="C71" s="14">
        <v>45909</v>
      </c>
      <c r="D71" s="4">
        <v>60</v>
      </c>
      <c r="E71" s="4">
        <f>VLOOKUP(B71, wau!A:C,3,0)</f>
        <v>199</v>
      </c>
      <c r="F71" s="4">
        <f>VLOOKUP(A71,mau!A:C,3,0)</f>
        <v>378</v>
      </c>
      <c r="G71" s="12">
        <f t="shared" si="6"/>
        <v>0.30150753768844218</v>
      </c>
      <c r="H71" s="12">
        <f t="shared" si="7"/>
        <v>0.15873015873015872</v>
      </c>
    </row>
    <row r="72" spans="1:8" x14ac:dyDescent="0.3">
      <c r="A72" s="4">
        <f t="shared" si="4"/>
        <v>9</v>
      </c>
      <c r="B72" s="4">
        <f t="shared" si="5"/>
        <v>37</v>
      </c>
      <c r="C72" s="14">
        <v>45910</v>
      </c>
      <c r="D72" s="4">
        <v>53</v>
      </c>
      <c r="E72" s="4">
        <f>VLOOKUP(B72, wau!A:C,3,0)</f>
        <v>199</v>
      </c>
      <c r="F72" s="4">
        <f>VLOOKUP(A72,mau!A:C,3,0)</f>
        <v>378</v>
      </c>
      <c r="G72" s="12">
        <f t="shared" si="6"/>
        <v>0.26633165829145727</v>
      </c>
      <c r="H72" s="12">
        <f t="shared" si="7"/>
        <v>0.1402116402116402</v>
      </c>
    </row>
    <row r="73" spans="1:8" x14ac:dyDescent="0.3">
      <c r="A73" s="4">
        <f t="shared" si="4"/>
        <v>9</v>
      </c>
      <c r="B73" s="4">
        <f t="shared" si="5"/>
        <v>37</v>
      </c>
      <c r="C73" s="14">
        <v>45911</v>
      </c>
      <c r="D73" s="4">
        <v>61</v>
      </c>
      <c r="E73" s="4">
        <f>VLOOKUP(B73, wau!A:C,3,0)</f>
        <v>199</v>
      </c>
      <c r="F73" s="4">
        <f>VLOOKUP(A73,mau!A:C,3,0)</f>
        <v>378</v>
      </c>
      <c r="G73" s="12">
        <f t="shared" si="6"/>
        <v>0.30653266331658291</v>
      </c>
      <c r="H73" s="12">
        <f t="shared" si="7"/>
        <v>0.16137566137566137</v>
      </c>
    </row>
    <row r="74" spans="1:8" x14ac:dyDescent="0.3">
      <c r="A74" s="4">
        <f t="shared" si="4"/>
        <v>9</v>
      </c>
      <c r="B74" s="4">
        <f t="shared" si="5"/>
        <v>37</v>
      </c>
      <c r="C74" s="14">
        <v>45912</v>
      </c>
      <c r="D74" s="4">
        <v>58</v>
      </c>
      <c r="E74" s="4">
        <f>VLOOKUP(B74, wau!A:C,3,0)</f>
        <v>199</v>
      </c>
      <c r="F74" s="4">
        <f>VLOOKUP(A74,mau!A:C,3,0)</f>
        <v>378</v>
      </c>
      <c r="G74" s="12">
        <f t="shared" si="6"/>
        <v>0.29145728643216079</v>
      </c>
      <c r="H74" s="12">
        <f t="shared" si="7"/>
        <v>0.15343915343915343</v>
      </c>
    </row>
    <row r="75" spans="1:8" x14ac:dyDescent="0.3">
      <c r="A75" s="4">
        <f t="shared" si="4"/>
        <v>9</v>
      </c>
      <c r="B75" s="4">
        <f t="shared" si="5"/>
        <v>37</v>
      </c>
      <c r="C75" s="14">
        <v>45913</v>
      </c>
      <c r="D75" s="4">
        <v>64</v>
      </c>
      <c r="E75" s="4">
        <f>VLOOKUP(B75, wau!A:C,3,0)</f>
        <v>199</v>
      </c>
      <c r="F75" s="4">
        <f>VLOOKUP(A75,mau!A:C,3,0)</f>
        <v>378</v>
      </c>
      <c r="G75" s="12">
        <f t="shared" si="6"/>
        <v>0.32160804020100503</v>
      </c>
      <c r="H75" s="12">
        <f t="shared" si="7"/>
        <v>0.1693121693121693</v>
      </c>
    </row>
    <row r="76" spans="1:8" x14ac:dyDescent="0.3">
      <c r="A76" s="4">
        <f t="shared" si="4"/>
        <v>9</v>
      </c>
      <c r="B76" s="4">
        <f t="shared" si="5"/>
        <v>37</v>
      </c>
      <c r="C76" s="14">
        <v>45914</v>
      </c>
      <c r="D76" s="4">
        <v>65</v>
      </c>
      <c r="E76" s="4">
        <f>VLOOKUP(B76, wau!A:C,3,0)</f>
        <v>199</v>
      </c>
      <c r="F76" s="4">
        <f>VLOOKUP(A76,mau!A:C,3,0)</f>
        <v>378</v>
      </c>
      <c r="G76" s="12">
        <f t="shared" si="6"/>
        <v>0.32663316582914576</v>
      </c>
      <c r="H76" s="12">
        <f t="shared" si="7"/>
        <v>0.17195767195767195</v>
      </c>
    </row>
    <row r="77" spans="1:8" x14ac:dyDescent="0.3">
      <c r="A77" s="4">
        <f t="shared" si="4"/>
        <v>9</v>
      </c>
      <c r="B77" s="4">
        <f t="shared" si="5"/>
        <v>38</v>
      </c>
      <c r="C77" s="14">
        <v>45915</v>
      </c>
      <c r="D77" s="4">
        <v>74</v>
      </c>
      <c r="E77" s="4">
        <f>VLOOKUP(B77, wau!A:C,3,0)</f>
        <v>218</v>
      </c>
      <c r="F77" s="4">
        <f>VLOOKUP(A77,mau!A:C,3,0)</f>
        <v>378</v>
      </c>
      <c r="G77" s="12">
        <f t="shared" si="6"/>
        <v>0.33944954128440369</v>
      </c>
      <c r="H77" s="12">
        <f t="shared" si="7"/>
        <v>0.19576719576719576</v>
      </c>
    </row>
    <row r="78" spans="1:8" x14ac:dyDescent="0.3">
      <c r="A78" s="4">
        <f t="shared" si="4"/>
        <v>9</v>
      </c>
      <c r="B78" s="4">
        <f t="shared" si="5"/>
        <v>38</v>
      </c>
      <c r="C78" s="14">
        <v>45916</v>
      </c>
      <c r="D78" s="4">
        <v>58</v>
      </c>
      <c r="E78" s="4">
        <f>VLOOKUP(B78, wau!A:C,3,0)</f>
        <v>218</v>
      </c>
      <c r="F78" s="4">
        <f>VLOOKUP(A78,mau!A:C,3,0)</f>
        <v>378</v>
      </c>
      <c r="G78" s="12">
        <f t="shared" si="6"/>
        <v>0.26605504587155965</v>
      </c>
      <c r="H78" s="12">
        <f t="shared" si="7"/>
        <v>0.15343915343915343</v>
      </c>
    </row>
    <row r="79" spans="1:8" x14ac:dyDescent="0.3">
      <c r="A79" s="4">
        <f t="shared" si="4"/>
        <v>9</v>
      </c>
      <c r="B79" s="4">
        <f t="shared" si="5"/>
        <v>38</v>
      </c>
      <c r="C79" s="14">
        <v>45917</v>
      </c>
      <c r="D79" s="4">
        <v>62</v>
      </c>
      <c r="E79" s="4">
        <f>VLOOKUP(B79, wau!A:C,3,0)</f>
        <v>218</v>
      </c>
      <c r="F79" s="4">
        <f>VLOOKUP(A79,mau!A:C,3,0)</f>
        <v>378</v>
      </c>
      <c r="G79" s="12">
        <f t="shared" si="6"/>
        <v>0.28440366972477066</v>
      </c>
      <c r="H79" s="12">
        <f t="shared" si="7"/>
        <v>0.16402116402116401</v>
      </c>
    </row>
    <row r="80" spans="1:8" x14ac:dyDescent="0.3">
      <c r="A80" s="4">
        <f t="shared" si="4"/>
        <v>9</v>
      </c>
      <c r="B80" s="4">
        <f t="shared" si="5"/>
        <v>38</v>
      </c>
      <c r="C80" s="14">
        <v>45918</v>
      </c>
      <c r="D80" s="4">
        <v>69</v>
      </c>
      <c r="E80" s="4">
        <f>VLOOKUP(B80, wau!A:C,3,0)</f>
        <v>218</v>
      </c>
      <c r="F80" s="4">
        <f>VLOOKUP(A80,mau!A:C,3,0)</f>
        <v>378</v>
      </c>
      <c r="G80" s="12">
        <f t="shared" si="6"/>
        <v>0.3165137614678899</v>
      </c>
      <c r="H80" s="12">
        <f t="shared" si="7"/>
        <v>0.18253968253968253</v>
      </c>
    </row>
    <row r="81" spans="1:8" x14ac:dyDescent="0.3">
      <c r="A81" s="4">
        <f t="shared" si="4"/>
        <v>9</v>
      </c>
      <c r="B81" s="4">
        <f t="shared" si="5"/>
        <v>38</v>
      </c>
      <c r="C81" s="14">
        <v>45919</v>
      </c>
      <c r="D81" s="4">
        <v>66</v>
      </c>
      <c r="E81" s="4">
        <f>VLOOKUP(B81, wau!A:C,3,0)</f>
        <v>218</v>
      </c>
      <c r="F81" s="4">
        <f>VLOOKUP(A81,mau!A:C,3,0)</f>
        <v>378</v>
      </c>
      <c r="G81" s="12">
        <f t="shared" si="6"/>
        <v>0.30275229357798167</v>
      </c>
      <c r="H81" s="12">
        <f t="shared" si="7"/>
        <v>0.17460317460317459</v>
      </c>
    </row>
    <row r="82" spans="1:8" x14ac:dyDescent="0.3">
      <c r="A82" s="4">
        <f t="shared" si="4"/>
        <v>9</v>
      </c>
      <c r="B82" s="4">
        <f t="shared" si="5"/>
        <v>38</v>
      </c>
      <c r="C82" s="14">
        <v>45920</v>
      </c>
      <c r="D82" s="4">
        <v>67</v>
      </c>
      <c r="E82" s="4">
        <f>VLOOKUP(B82, wau!A:C,3,0)</f>
        <v>218</v>
      </c>
      <c r="F82" s="4">
        <f>VLOOKUP(A82,mau!A:C,3,0)</f>
        <v>378</v>
      </c>
      <c r="G82" s="12">
        <f t="shared" si="6"/>
        <v>0.30733944954128439</v>
      </c>
      <c r="H82" s="12">
        <f t="shared" si="7"/>
        <v>0.17724867724867724</v>
      </c>
    </row>
    <row r="83" spans="1:8" x14ac:dyDescent="0.3">
      <c r="A83" s="4">
        <f t="shared" si="4"/>
        <v>9</v>
      </c>
      <c r="B83" s="4">
        <f t="shared" si="5"/>
        <v>38</v>
      </c>
      <c r="C83" s="14">
        <v>45921</v>
      </c>
      <c r="D83" s="4">
        <v>71</v>
      </c>
      <c r="E83" s="4">
        <f>VLOOKUP(B83, wau!A:C,3,0)</f>
        <v>218</v>
      </c>
      <c r="F83" s="4">
        <f>VLOOKUP(A83,mau!A:C,3,0)</f>
        <v>378</v>
      </c>
      <c r="G83" s="12">
        <f t="shared" si="6"/>
        <v>0.3256880733944954</v>
      </c>
      <c r="H83" s="12">
        <f t="shared" si="7"/>
        <v>0.18783068783068782</v>
      </c>
    </row>
    <row r="84" spans="1:8" x14ac:dyDescent="0.3">
      <c r="A84" s="4">
        <f t="shared" si="4"/>
        <v>9</v>
      </c>
      <c r="B84" s="4">
        <f t="shared" si="5"/>
        <v>39</v>
      </c>
      <c r="C84" s="14">
        <v>45922</v>
      </c>
      <c r="D84" s="4">
        <v>67</v>
      </c>
      <c r="E84" s="4">
        <f>VLOOKUP(B84, wau!A:C,3,0)</f>
        <v>200</v>
      </c>
      <c r="F84" s="4">
        <f>VLOOKUP(A84,mau!A:C,3,0)</f>
        <v>378</v>
      </c>
      <c r="G84" s="12">
        <f t="shared" si="6"/>
        <v>0.33500000000000002</v>
      </c>
      <c r="H84" s="12">
        <f t="shared" si="7"/>
        <v>0.17724867724867724</v>
      </c>
    </row>
    <row r="85" spans="1:8" x14ac:dyDescent="0.3">
      <c r="A85" s="4">
        <f t="shared" si="4"/>
        <v>9</v>
      </c>
      <c r="B85" s="4">
        <f t="shared" si="5"/>
        <v>39</v>
      </c>
      <c r="C85" s="14">
        <v>45923</v>
      </c>
      <c r="D85" s="4">
        <v>55</v>
      </c>
      <c r="E85" s="4">
        <f>VLOOKUP(B85, wau!A:C,3,0)</f>
        <v>200</v>
      </c>
      <c r="F85" s="4">
        <f>VLOOKUP(A85,mau!A:C,3,0)</f>
        <v>378</v>
      </c>
      <c r="G85" s="12">
        <f t="shared" si="6"/>
        <v>0.27500000000000002</v>
      </c>
      <c r="H85" s="12">
        <f t="shared" si="7"/>
        <v>0.14550264550264549</v>
      </c>
    </row>
    <row r="86" spans="1:8" x14ac:dyDescent="0.3">
      <c r="A86" s="4">
        <f t="shared" si="4"/>
        <v>9</v>
      </c>
      <c r="B86" s="4">
        <f t="shared" si="5"/>
        <v>39</v>
      </c>
      <c r="C86" s="14">
        <v>45924</v>
      </c>
      <c r="D86" s="4">
        <v>58</v>
      </c>
      <c r="E86" s="4">
        <f>VLOOKUP(B86, wau!A:C,3,0)</f>
        <v>200</v>
      </c>
      <c r="F86" s="4">
        <f>VLOOKUP(A86,mau!A:C,3,0)</f>
        <v>378</v>
      </c>
      <c r="G86" s="12">
        <f t="shared" si="6"/>
        <v>0.28999999999999998</v>
      </c>
      <c r="H86" s="12">
        <f t="shared" si="7"/>
        <v>0.15343915343915343</v>
      </c>
    </row>
    <row r="87" spans="1:8" x14ac:dyDescent="0.3">
      <c r="A87" s="4">
        <f t="shared" si="4"/>
        <v>9</v>
      </c>
      <c r="B87" s="4">
        <f t="shared" si="5"/>
        <v>39</v>
      </c>
      <c r="C87" s="14">
        <v>45925</v>
      </c>
      <c r="D87" s="4">
        <v>73</v>
      </c>
      <c r="E87" s="4">
        <f>VLOOKUP(B87, wau!A:C,3,0)</f>
        <v>200</v>
      </c>
      <c r="F87" s="4">
        <f>VLOOKUP(A87,mau!A:C,3,0)</f>
        <v>378</v>
      </c>
      <c r="G87" s="12">
        <f t="shared" si="6"/>
        <v>0.36499999999999999</v>
      </c>
      <c r="H87" s="12">
        <f t="shared" si="7"/>
        <v>0.19312169312169311</v>
      </c>
    </row>
    <row r="88" spans="1:8" x14ac:dyDescent="0.3">
      <c r="A88" s="4">
        <f t="shared" si="4"/>
        <v>9</v>
      </c>
      <c r="B88" s="4">
        <f t="shared" si="5"/>
        <v>39</v>
      </c>
      <c r="C88" s="14">
        <v>45926</v>
      </c>
      <c r="D88" s="4">
        <v>58</v>
      </c>
      <c r="E88" s="4">
        <f>VLOOKUP(B88, wau!A:C,3,0)</f>
        <v>200</v>
      </c>
      <c r="F88" s="4">
        <f>VLOOKUP(A88,mau!A:C,3,0)</f>
        <v>378</v>
      </c>
      <c r="G88" s="12">
        <f t="shared" si="6"/>
        <v>0.28999999999999998</v>
      </c>
      <c r="H88" s="12">
        <f t="shared" si="7"/>
        <v>0.15343915343915343</v>
      </c>
    </row>
    <row r="89" spans="1:8" x14ac:dyDescent="0.3">
      <c r="A89" s="4">
        <f t="shared" si="4"/>
        <v>9</v>
      </c>
      <c r="B89" s="4">
        <f t="shared" si="5"/>
        <v>39</v>
      </c>
      <c r="C89" s="14">
        <v>45927</v>
      </c>
      <c r="D89" s="4">
        <v>76</v>
      </c>
      <c r="E89" s="4">
        <f>VLOOKUP(B89, wau!A:C,3,0)</f>
        <v>200</v>
      </c>
      <c r="F89" s="4">
        <f>VLOOKUP(A89,mau!A:C,3,0)</f>
        <v>378</v>
      </c>
      <c r="G89" s="12">
        <f t="shared" si="6"/>
        <v>0.38</v>
      </c>
      <c r="H89" s="12">
        <f t="shared" si="7"/>
        <v>0.20105820105820105</v>
      </c>
    </row>
    <row r="90" spans="1:8" x14ac:dyDescent="0.3">
      <c r="A90" s="4">
        <f t="shared" si="4"/>
        <v>9</v>
      </c>
      <c r="B90" s="4">
        <f t="shared" si="5"/>
        <v>39</v>
      </c>
      <c r="C90" s="14">
        <v>45928</v>
      </c>
      <c r="D90" s="4">
        <v>62</v>
      </c>
      <c r="E90" s="4">
        <f>VLOOKUP(B90, wau!A:C,3,0)</f>
        <v>200</v>
      </c>
      <c r="F90" s="4">
        <f>VLOOKUP(A90,mau!A:C,3,0)</f>
        <v>378</v>
      </c>
      <c r="G90" s="12">
        <f t="shared" si="6"/>
        <v>0.31</v>
      </c>
      <c r="H90" s="12">
        <f t="shared" si="7"/>
        <v>0.16402116402116401</v>
      </c>
    </row>
    <row r="91" spans="1:8" x14ac:dyDescent="0.3">
      <c r="A91" s="4">
        <f t="shared" si="4"/>
        <v>9</v>
      </c>
      <c r="B91" s="4">
        <f t="shared" si="5"/>
        <v>40</v>
      </c>
      <c r="C91" s="14">
        <v>45929</v>
      </c>
      <c r="D91" s="4">
        <v>66</v>
      </c>
      <c r="E91" s="4">
        <f>VLOOKUP(B91, wau!A:C,3,0)</f>
        <v>211</v>
      </c>
      <c r="F91" s="4">
        <f>VLOOKUP(A91,mau!A:C,3,0)</f>
        <v>378</v>
      </c>
      <c r="G91" s="12">
        <f t="shared" si="6"/>
        <v>0.3127962085308057</v>
      </c>
      <c r="H91" s="12">
        <f t="shared" si="7"/>
        <v>0.17460317460317459</v>
      </c>
    </row>
    <row r="92" spans="1:8" x14ac:dyDescent="0.3">
      <c r="A92" s="4">
        <f t="shared" si="4"/>
        <v>9</v>
      </c>
      <c r="B92" s="4">
        <f t="shared" si="5"/>
        <v>40</v>
      </c>
      <c r="C92" s="14">
        <v>45930</v>
      </c>
      <c r="D92" s="4">
        <v>59</v>
      </c>
      <c r="E92" s="4">
        <f>VLOOKUP(B92, wau!A:C,3,0)</f>
        <v>211</v>
      </c>
      <c r="F92" s="4">
        <f>VLOOKUP(A92,mau!A:C,3,0)</f>
        <v>378</v>
      </c>
      <c r="G92" s="12">
        <f t="shared" si="6"/>
        <v>0.27962085308056872</v>
      </c>
      <c r="H92" s="12">
        <f t="shared" si="7"/>
        <v>0.15608465608465608</v>
      </c>
    </row>
    <row r="93" spans="1:8" x14ac:dyDescent="0.3">
      <c r="A93" s="4">
        <f t="shared" si="4"/>
        <v>10</v>
      </c>
      <c r="B93" s="4">
        <f t="shared" si="5"/>
        <v>40</v>
      </c>
      <c r="C93" s="14">
        <v>45931</v>
      </c>
      <c r="D93" s="4">
        <v>61</v>
      </c>
      <c r="E93" s="4">
        <f>VLOOKUP(B93, wau!A:C,3,0)</f>
        <v>211</v>
      </c>
      <c r="F93" s="4">
        <f>VLOOKUP(A93,mau!A:C,3,0)</f>
        <v>393</v>
      </c>
      <c r="G93" s="12">
        <f t="shared" si="6"/>
        <v>0.2890995260663507</v>
      </c>
      <c r="H93" s="12">
        <f t="shared" si="7"/>
        <v>0.15521628498727735</v>
      </c>
    </row>
    <row r="94" spans="1:8" x14ac:dyDescent="0.3">
      <c r="A94" s="4">
        <f t="shared" si="4"/>
        <v>10</v>
      </c>
      <c r="B94" s="4">
        <f t="shared" si="5"/>
        <v>40</v>
      </c>
      <c r="C94" s="14">
        <v>45932</v>
      </c>
      <c r="D94" s="4">
        <v>52</v>
      </c>
      <c r="E94" s="4">
        <f>VLOOKUP(B94, wau!A:C,3,0)</f>
        <v>211</v>
      </c>
      <c r="F94" s="4">
        <f>VLOOKUP(A94,mau!A:C,3,0)</f>
        <v>393</v>
      </c>
      <c r="G94" s="12">
        <f t="shared" si="6"/>
        <v>0.24644549763033174</v>
      </c>
      <c r="H94" s="12">
        <f t="shared" si="7"/>
        <v>0.13231552162849872</v>
      </c>
    </row>
    <row r="95" spans="1:8" x14ac:dyDescent="0.3">
      <c r="A95" s="4">
        <f t="shared" si="4"/>
        <v>10</v>
      </c>
      <c r="B95" s="4">
        <f t="shared" si="5"/>
        <v>40</v>
      </c>
      <c r="C95" s="14">
        <v>45933</v>
      </c>
      <c r="D95" s="4">
        <v>69</v>
      </c>
      <c r="E95" s="4">
        <f>VLOOKUP(B95, wau!A:C,3,0)</f>
        <v>211</v>
      </c>
      <c r="F95" s="4">
        <f>VLOOKUP(A95,mau!A:C,3,0)</f>
        <v>393</v>
      </c>
      <c r="G95" s="12">
        <f t="shared" si="6"/>
        <v>0.32701421800947866</v>
      </c>
      <c r="H95" s="12">
        <f t="shared" si="7"/>
        <v>0.17557251908396945</v>
      </c>
    </row>
    <row r="96" spans="1:8" x14ac:dyDescent="0.3">
      <c r="A96" s="4">
        <f t="shared" si="4"/>
        <v>10</v>
      </c>
      <c r="B96" s="4">
        <f t="shared" si="5"/>
        <v>40</v>
      </c>
      <c r="C96" s="14">
        <v>45934</v>
      </c>
      <c r="D96" s="4">
        <v>70</v>
      </c>
      <c r="E96" s="4">
        <f>VLOOKUP(B96, wau!A:C,3,0)</f>
        <v>211</v>
      </c>
      <c r="F96" s="4">
        <f>VLOOKUP(A96,mau!A:C,3,0)</f>
        <v>393</v>
      </c>
      <c r="G96" s="12">
        <f t="shared" si="6"/>
        <v>0.33175355450236965</v>
      </c>
      <c r="H96" s="12">
        <f t="shared" si="7"/>
        <v>0.17811704834605599</v>
      </c>
    </row>
    <row r="97" spans="1:8" x14ac:dyDescent="0.3">
      <c r="A97" s="4">
        <f t="shared" si="4"/>
        <v>10</v>
      </c>
      <c r="B97" s="4">
        <f t="shared" si="5"/>
        <v>40</v>
      </c>
      <c r="C97" s="14">
        <v>45935</v>
      </c>
      <c r="D97" s="4">
        <v>45</v>
      </c>
      <c r="E97" s="4">
        <f>VLOOKUP(B97, wau!A:C,3,0)</f>
        <v>211</v>
      </c>
      <c r="F97" s="4">
        <f>VLOOKUP(A97,mau!A:C,3,0)</f>
        <v>393</v>
      </c>
      <c r="G97" s="12">
        <f t="shared" si="6"/>
        <v>0.2132701421800948</v>
      </c>
      <c r="H97" s="12">
        <f t="shared" si="7"/>
        <v>0.11450381679389313</v>
      </c>
    </row>
    <row r="98" spans="1:8" x14ac:dyDescent="0.3">
      <c r="A98" s="4">
        <f t="shared" si="4"/>
        <v>10</v>
      </c>
      <c r="B98" s="4">
        <f t="shared" si="5"/>
        <v>41</v>
      </c>
      <c r="C98" s="14">
        <v>45936</v>
      </c>
      <c r="D98" s="4">
        <v>77</v>
      </c>
      <c r="E98" s="4">
        <f>VLOOKUP(B98, wau!A:C,3,0)</f>
        <v>190</v>
      </c>
      <c r="F98" s="4">
        <f>VLOOKUP(A98,mau!A:C,3,0)</f>
        <v>393</v>
      </c>
      <c r="G98" s="12">
        <f t="shared" si="6"/>
        <v>0.40526315789473683</v>
      </c>
      <c r="H98" s="12">
        <f t="shared" si="7"/>
        <v>0.19592875318066158</v>
      </c>
    </row>
    <row r="99" spans="1:8" x14ac:dyDescent="0.3">
      <c r="A99" s="4">
        <f t="shared" si="4"/>
        <v>10</v>
      </c>
      <c r="B99" s="4">
        <f t="shared" si="5"/>
        <v>41</v>
      </c>
      <c r="C99" s="14">
        <v>45937</v>
      </c>
      <c r="D99" s="4">
        <v>61</v>
      </c>
      <c r="E99" s="4">
        <f>VLOOKUP(B99, wau!A:C,3,0)</f>
        <v>190</v>
      </c>
      <c r="F99" s="4">
        <f>VLOOKUP(A99,mau!A:C,3,0)</f>
        <v>393</v>
      </c>
      <c r="G99" s="12">
        <f t="shared" si="6"/>
        <v>0.32105263157894737</v>
      </c>
      <c r="H99" s="12">
        <f t="shared" si="7"/>
        <v>0.15521628498727735</v>
      </c>
    </row>
    <row r="100" spans="1:8" x14ac:dyDescent="0.3">
      <c r="A100" s="4">
        <f t="shared" si="4"/>
        <v>10</v>
      </c>
      <c r="B100" s="4">
        <f t="shared" si="5"/>
        <v>41</v>
      </c>
      <c r="C100" s="14">
        <v>45938</v>
      </c>
      <c r="D100" s="4">
        <v>56</v>
      </c>
      <c r="E100" s="4">
        <f>VLOOKUP(B100, wau!A:C,3,0)</f>
        <v>190</v>
      </c>
      <c r="F100" s="4">
        <f>VLOOKUP(A100,mau!A:C,3,0)</f>
        <v>393</v>
      </c>
      <c r="G100" s="12">
        <f t="shared" si="6"/>
        <v>0.29473684210526313</v>
      </c>
      <c r="H100" s="12">
        <f t="shared" si="7"/>
        <v>0.14249363867684478</v>
      </c>
    </row>
    <row r="101" spans="1:8" x14ac:dyDescent="0.3">
      <c r="A101" s="4">
        <f t="shared" si="4"/>
        <v>10</v>
      </c>
      <c r="B101" s="4">
        <f t="shared" si="5"/>
        <v>41</v>
      </c>
      <c r="C101" s="14">
        <v>45939</v>
      </c>
      <c r="D101" s="4">
        <v>66</v>
      </c>
      <c r="E101" s="4">
        <f>VLOOKUP(B101, wau!A:C,3,0)</f>
        <v>190</v>
      </c>
      <c r="F101" s="4">
        <f>VLOOKUP(A101,mau!A:C,3,0)</f>
        <v>393</v>
      </c>
      <c r="G101" s="12">
        <f t="shared" si="6"/>
        <v>0.3473684210526316</v>
      </c>
      <c r="H101" s="12">
        <f t="shared" si="7"/>
        <v>0.16793893129770993</v>
      </c>
    </row>
    <row r="102" spans="1:8" x14ac:dyDescent="0.3">
      <c r="A102" s="4">
        <f t="shared" si="4"/>
        <v>10</v>
      </c>
      <c r="B102" s="4">
        <f t="shared" si="5"/>
        <v>41</v>
      </c>
      <c r="C102" s="14">
        <v>45940</v>
      </c>
      <c r="D102" s="4">
        <v>51</v>
      </c>
      <c r="E102" s="4">
        <f>VLOOKUP(B102, wau!A:C,3,0)</f>
        <v>190</v>
      </c>
      <c r="F102" s="4">
        <f>VLOOKUP(A102,mau!A:C,3,0)</f>
        <v>393</v>
      </c>
      <c r="G102" s="12">
        <f t="shared" si="6"/>
        <v>0.26842105263157895</v>
      </c>
      <c r="H102" s="12">
        <f t="shared" si="7"/>
        <v>0.12977099236641221</v>
      </c>
    </row>
    <row r="103" spans="1:8" x14ac:dyDescent="0.3">
      <c r="A103" s="4">
        <f t="shared" si="4"/>
        <v>10</v>
      </c>
      <c r="B103" s="4">
        <f t="shared" si="5"/>
        <v>41</v>
      </c>
      <c r="C103" s="14">
        <v>45941</v>
      </c>
      <c r="D103" s="4">
        <v>59</v>
      </c>
      <c r="E103" s="4">
        <f>VLOOKUP(B103, wau!A:C,3,0)</f>
        <v>190</v>
      </c>
      <c r="F103" s="4">
        <f>VLOOKUP(A103,mau!A:C,3,0)</f>
        <v>393</v>
      </c>
      <c r="G103" s="12">
        <f t="shared" si="6"/>
        <v>0.31052631578947371</v>
      </c>
      <c r="H103" s="12">
        <f t="shared" si="7"/>
        <v>0.15012722646310434</v>
      </c>
    </row>
    <row r="104" spans="1:8" x14ac:dyDescent="0.3">
      <c r="A104" s="4">
        <f t="shared" si="4"/>
        <v>10</v>
      </c>
      <c r="B104" s="4">
        <f t="shared" si="5"/>
        <v>41</v>
      </c>
      <c r="C104" s="14">
        <v>45942</v>
      </c>
      <c r="D104" s="4">
        <v>65</v>
      </c>
      <c r="E104" s="4">
        <f>VLOOKUP(B104, wau!A:C,3,0)</f>
        <v>190</v>
      </c>
      <c r="F104" s="4">
        <f>VLOOKUP(A104,mau!A:C,3,0)</f>
        <v>393</v>
      </c>
      <c r="G104" s="12">
        <f t="shared" si="6"/>
        <v>0.34210526315789475</v>
      </c>
      <c r="H104" s="12">
        <f t="shared" si="7"/>
        <v>0.16539440203562342</v>
      </c>
    </row>
    <row r="105" spans="1:8" x14ac:dyDescent="0.3">
      <c r="A105" s="4">
        <f t="shared" si="4"/>
        <v>10</v>
      </c>
      <c r="B105" s="4">
        <f t="shared" si="5"/>
        <v>42</v>
      </c>
      <c r="C105" s="14">
        <v>45943</v>
      </c>
      <c r="D105" s="4">
        <v>53</v>
      </c>
      <c r="E105" s="4">
        <f>VLOOKUP(B105, wau!A:C,3,0)</f>
        <v>215</v>
      </c>
      <c r="F105" s="4">
        <f>VLOOKUP(A105,mau!A:C,3,0)</f>
        <v>393</v>
      </c>
      <c r="G105" s="12">
        <f t="shared" si="6"/>
        <v>0.24651162790697675</v>
      </c>
      <c r="H105" s="12">
        <f t="shared" si="7"/>
        <v>0.13486005089058525</v>
      </c>
    </row>
    <row r="106" spans="1:8" x14ac:dyDescent="0.3">
      <c r="A106" s="4">
        <f t="shared" si="4"/>
        <v>10</v>
      </c>
      <c r="B106" s="4">
        <f t="shared" si="5"/>
        <v>42</v>
      </c>
      <c r="C106" s="14">
        <v>45944</v>
      </c>
      <c r="D106" s="4">
        <v>72</v>
      </c>
      <c r="E106" s="4">
        <f>VLOOKUP(B106, wau!A:C,3,0)</f>
        <v>215</v>
      </c>
      <c r="F106" s="4">
        <f>VLOOKUP(A106,mau!A:C,3,0)</f>
        <v>393</v>
      </c>
      <c r="G106" s="12">
        <f t="shared" si="6"/>
        <v>0.33488372093023255</v>
      </c>
      <c r="H106" s="12">
        <f t="shared" si="7"/>
        <v>0.18320610687022901</v>
      </c>
    </row>
    <row r="107" spans="1:8" x14ac:dyDescent="0.3">
      <c r="A107" s="4">
        <f t="shared" si="4"/>
        <v>10</v>
      </c>
      <c r="B107" s="4">
        <f t="shared" si="5"/>
        <v>42</v>
      </c>
      <c r="C107" s="14">
        <v>45945</v>
      </c>
      <c r="D107" s="4">
        <v>62</v>
      </c>
      <c r="E107" s="4">
        <f>VLOOKUP(B107, wau!A:C,3,0)</f>
        <v>215</v>
      </c>
      <c r="F107" s="4">
        <f>VLOOKUP(A107,mau!A:C,3,0)</f>
        <v>393</v>
      </c>
      <c r="G107" s="12">
        <f t="shared" si="6"/>
        <v>0.28837209302325584</v>
      </c>
      <c r="H107" s="12">
        <f t="shared" si="7"/>
        <v>0.15776081424936386</v>
      </c>
    </row>
    <row r="108" spans="1:8" x14ac:dyDescent="0.3">
      <c r="A108" s="4">
        <f t="shared" si="4"/>
        <v>10</v>
      </c>
      <c r="B108" s="4">
        <f t="shared" si="5"/>
        <v>42</v>
      </c>
      <c r="C108" s="14">
        <v>45946</v>
      </c>
      <c r="D108" s="4">
        <v>62</v>
      </c>
      <c r="E108" s="4">
        <f>VLOOKUP(B108, wau!A:C,3,0)</f>
        <v>215</v>
      </c>
      <c r="F108" s="4">
        <f>VLOOKUP(A108,mau!A:C,3,0)</f>
        <v>393</v>
      </c>
      <c r="G108" s="12">
        <f t="shared" si="6"/>
        <v>0.28837209302325584</v>
      </c>
      <c r="H108" s="12">
        <f t="shared" si="7"/>
        <v>0.15776081424936386</v>
      </c>
    </row>
    <row r="109" spans="1:8" x14ac:dyDescent="0.3">
      <c r="A109" s="4">
        <f t="shared" si="4"/>
        <v>10</v>
      </c>
      <c r="B109" s="4">
        <f t="shared" si="5"/>
        <v>42</v>
      </c>
      <c r="C109" s="14">
        <v>45947</v>
      </c>
      <c r="D109" s="4">
        <v>70</v>
      </c>
      <c r="E109" s="4">
        <f>VLOOKUP(B109, wau!A:C,3,0)</f>
        <v>215</v>
      </c>
      <c r="F109" s="4">
        <f>VLOOKUP(A109,mau!A:C,3,0)</f>
        <v>393</v>
      </c>
      <c r="G109" s="12">
        <f t="shared" si="6"/>
        <v>0.32558139534883723</v>
      </c>
      <c r="H109" s="12">
        <f t="shared" si="7"/>
        <v>0.17811704834605599</v>
      </c>
    </row>
    <row r="110" spans="1:8" x14ac:dyDescent="0.3">
      <c r="A110" s="4">
        <f t="shared" si="4"/>
        <v>10</v>
      </c>
      <c r="B110" s="4">
        <f t="shared" si="5"/>
        <v>42</v>
      </c>
      <c r="C110" s="14">
        <v>45948</v>
      </c>
      <c r="D110" s="4">
        <v>62</v>
      </c>
      <c r="E110" s="4">
        <f>VLOOKUP(B110, wau!A:C,3,0)</f>
        <v>215</v>
      </c>
      <c r="F110" s="4">
        <f>VLOOKUP(A110,mau!A:C,3,0)</f>
        <v>393</v>
      </c>
      <c r="G110" s="12">
        <f t="shared" si="6"/>
        <v>0.28837209302325584</v>
      </c>
      <c r="H110" s="12">
        <f t="shared" si="7"/>
        <v>0.15776081424936386</v>
      </c>
    </row>
    <row r="111" spans="1:8" x14ac:dyDescent="0.3">
      <c r="A111" s="4">
        <f t="shared" si="4"/>
        <v>10</v>
      </c>
      <c r="B111" s="4">
        <f t="shared" si="5"/>
        <v>42</v>
      </c>
      <c r="C111" s="14">
        <v>45949</v>
      </c>
      <c r="D111" s="4">
        <v>82</v>
      </c>
      <c r="E111" s="4">
        <f>VLOOKUP(B111, wau!A:C,3,0)</f>
        <v>215</v>
      </c>
      <c r="F111" s="4">
        <f>VLOOKUP(A111,mau!A:C,3,0)</f>
        <v>393</v>
      </c>
      <c r="G111" s="12">
        <f t="shared" si="6"/>
        <v>0.38139534883720932</v>
      </c>
      <c r="H111" s="12">
        <f t="shared" si="7"/>
        <v>0.20865139949109415</v>
      </c>
    </row>
    <row r="112" spans="1:8" x14ac:dyDescent="0.3">
      <c r="A112" s="4">
        <f t="shared" si="4"/>
        <v>10</v>
      </c>
      <c r="B112" s="4">
        <f t="shared" si="5"/>
        <v>43</v>
      </c>
      <c r="C112" s="14">
        <v>45950</v>
      </c>
      <c r="D112" s="4">
        <v>52</v>
      </c>
      <c r="E112" s="4">
        <f>VLOOKUP(B112, wau!A:C,3,0)</f>
        <v>209</v>
      </c>
      <c r="F112" s="4">
        <f>VLOOKUP(A112,mau!A:C,3,0)</f>
        <v>393</v>
      </c>
      <c r="G112" s="12">
        <f t="shared" si="6"/>
        <v>0.24880382775119617</v>
      </c>
      <c r="H112" s="12">
        <f t="shared" si="7"/>
        <v>0.13231552162849872</v>
      </c>
    </row>
    <row r="113" spans="1:8" x14ac:dyDescent="0.3">
      <c r="A113" s="4">
        <f t="shared" si="4"/>
        <v>10</v>
      </c>
      <c r="B113" s="4">
        <f t="shared" si="5"/>
        <v>43</v>
      </c>
      <c r="C113" s="14">
        <v>45951</v>
      </c>
      <c r="D113" s="4">
        <v>65</v>
      </c>
      <c r="E113" s="4">
        <f>VLOOKUP(B113, wau!A:C,3,0)</f>
        <v>209</v>
      </c>
      <c r="F113" s="4">
        <f>VLOOKUP(A113,mau!A:C,3,0)</f>
        <v>393</v>
      </c>
      <c r="G113" s="12">
        <f t="shared" si="6"/>
        <v>0.31100478468899523</v>
      </c>
      <c r="H113" s="12">
        <f t="shared" si="7"/>
        <v>0.16539440203562342</v>
      </c>
    </row>
    <row r="114" spans="1:8" x14ac:dyDescent="0.3">
      <c r="A114" s="4">
        <f t="shared" si="4"/>
        <v>10</v>
      </c>
      <c r="B114" s="4">
        <f t="shared" si="5"/>
        <v>43</v>
      </c>
      <c r="C114" s="14">
        <v>45952</v>
      </c>
      <c r="D114" s="4">
        <v>64</v>
      </c>
      <c r="E114" s="4">
        <f>VLOOKUP(B114, wau!A:C,3,0)</f>
        <v>209</v>
      </c>
      <c r="F114" s="4">
        <f>VLOOKUP(A114,mau!A:C,3,0)</f>
        <v>393</v>
      </c>
      <c r="G114" s="12">
        <f t="shared" si="6"/>
        <v>0.30622009569377989</v>
      </c>
      <c r="H114" s="12">
        <f t="shared" si="7"/>
        <v>0.16284987277353691</v>
      </c>
    </row>
    <row r="115" spans="1:8" x14ac:dyDescent="0.3">
      <c r="A115" s="4">
        <f t="shared" si="4"/>
        <v>10</v>
      </c>
      <c r="B115" s="4">
        <f t="shared" si="5"/>
        <v>43</v>
      </c>
      <c r="C115" s="14">
        <v>45953</v>
      </c>
      <c r="D115" s="4">
        <v>57</v>
      </c>
      <c r="E115" s="4">
        <f>VLOOKUP(B115, wau!A:C,3,0)</f>
        <v>209</v>
      </c>
      <c r="F115" s="4">
        <f>VLOOKUP(A115,mau!A:C,3,0)</f>
        <v>393</v>
      </c>
      <c r="G115" s="12">
        <f t="shared" si="6"/>
        <v>0.27272727272727271</v>
      </c>
      <c r="H115" s="12">
        <f t="shared" si="7"/>
        <v>0.14503816793893129</v>
      </c>
    </row>
    <row r="116" spans="1:8" x14ac:dyDescent="0.3">
      <c r="A116" s="4">
        <f t="shared" si="4"/>
        <v>10</v>
      </c>
      <c r="B116" s="4">
        <f t="shared" si="5"/>
        <v>43</v>
      </c>
      <c r="C116" s="14">
        <v>45954</v>
      </c>
      <c r="D116" s="4">
        <v>58</v>
      </c>
      <c r="E116" s="4">
        <f>VLOOKUP(B116, wau!A:C,3,0)</f>
        <v>209</v>
      </c>
      <c r="F116" s="4">
        <f>VLOOKUP(A116,mau!A:C,3,0)</f>
        <v>393</v>
      </c>
      <c r="G116" s="12">
        <f t="shared" si="6"/>
        <v>0.27751196172248804</v>
      </c>
      <c r="H116" s="12">
        <f t="shared" si="7"/>
        <v>0.1475826972010178</v>
      </c>
    </row>
    <row r="117" spans="1:8" x14ac:dyDescent="0.3">
      <c r="A117" s="4">
        <f t="shared" si="4"/>
        <v>10</v>
      </c>
      <c r="B117" s="4">
        <f t="shared" si="5"/>
        <v>43</v>
      </c>
      <c r="C117" s="14">
        <v>45955</v>
      </c>
      <c r="D117" s="4">
        <v>66</v>
      </c>
      <c r="E117" s="4">
        <f>VLOOKUP(B117, wau!A:C,3,0)</f>
        <v>209</v>
      </c>
      <c r="F117" s="4">
        <f>VLOOKUP(A117,mau!A:C,3,0)</f>
        <v>393</v>
      </c>
      <c r="G117" s="12">
        <f t="shared" si="6"/>
        <v>0.31578947368421051</v>
      </c>
      <c r="H117" s="12">
        <f t="shared" si="7"/>
        <v>0.16793893129770993</v>
      </c>
    </row>
    <row r="118" spans="1:8" x14ac:dyDescent="0.3">
      <c r="A118" s="4">
        <f t="shared" si="4"/>
        <v>10</v>
      </c>
      <c r="B118" s="4">
        <f t="shared" si="5"/>
        <v>43</v>
      </c>
      <c r="C118" s="14">
        <v>45956</v>
      </c>
      <c r="D118" s="4">
        <v>60</v>
      </c>
      <c r="E118" s="4">
        <f>VLOOKUP(B118, wau!A:C,3,0)</f>
        <v>209</v>
      </c>
      <c r="F118" s="4">
        <f>VLOOKUP(A118,mau!A:C,3,0)</f>
        <v>393</v>
      </c>
      <c r="G118" s="12">
        <f t="shared" si="6"/>
        <v>0.28708133971291866</v>
      </c>
      <c r="H118" s="12">
        <f t="shared" si="7"/>
        <v>0.15267175572519084</v>
      </c>
    </row>
    <row r="119" spans="1:8" x14ac:dyDescent="0.3">
      <c r="A119" s="4">
        <f t="shared" si="4"/>
        <v>10</v>
      </c>
      <c r="B119" s="4">
        <f t="shared" si="5"/>
        <v>44</v>
      </c>
      <c r="C119" s="14">
        <v>45957</v>
      </c>
      <c r="D119" s="4">
        <v>55</v>
      </c>
      <c r="E119" s="4">
        <f>VLOOKUP(B119, wau!A:C,3,0)</f>
        <v>214</v>
      </c>
      <c r="F119" s="4">
        <f>VLOOKUP(A119,mau!A:C,3,0)</f>
        <v>393</v>
      </c>
      <c r="G119" s="12">
        <f t="shared" si="6"/>
        <v>0.2570093457943925</v>
      </c>
      <c r="H119" s="12">
        <f t="shared" si="7"/>
        <v>0.13994910941475827</v>
      </c>
    </row>
    <row r="120" spans="1:8" x14ac:dyDescent="0.3">
      <c r="A120" s="4">
        <f t="shared" si="4"/>
        <v>10</v>
      </c>
      <c r="B120" s="4">
        <f t="shared" si="5"/>
        <v>44</v>
      </c>
      <c r="C120" s="14">
        <v>45958</v>
      </c>
      <c r="D120" s="4">
        <v>65</v>
      </c>
      <c r="E120" s="4">
        <f>VLOOKUP(B120, wau!A:C,3,0)</f>
        <v>214</v>
      </c>
      <c r="F120" s="4">
        <f>VLOOKUP(A120,mau!A:C,3,0)</f>
        <v>393</v>
      </c>
      <c r="G120" s="12">
        <f t="shared" si="6"/>
        <v>0.30373831775700932</v>
      </c>
      <c r="H120" s="12">
        <f t="shared" si="7"/>
        <v>0.16539440203562342</v>
      </c>
    </row>
    <row r="121" spans="1:8" x14ac:dyDescent="0.3">
      <c r="A121" s="4">
        <f t="shared" si="4"/>
        <v>10</v>
      </c>
      <c r="B121" s="4">
        <f t="shared" si="5"/>
        <v>44</v>
      </c>
      <c r="C121" s="14">
        <v>45959</v>
      </c>
      <c r="D121" s="4">
        <v>54</v>
      </c>
      <c r="E121" s="4">
        <f>VLOOKUP(B121, wau!A:C,3,0)</f>
        <v>214</v>
      </c>
      <c r="F121" s="4">
        <f>VLOOKUP(A121,mau!A:C,3,0)</f>
        <v>393</v>
      </c>
      <c r="G121" s="12">
        <f t="shared" si="6"/>
        <v>0.25233644859813081</v>
      </c>
      <c r="H121" s="12">
        <f t="shared" si="7"/>
        <v>0.13740458015267176</v>
      </c>
    </row>
    <row r="122" spans="1:8" x14ac:dyDescent="0.3">
      <c r="A122" s="4">
        <f t="shared" si="4"/>
        <v>10</v>
      </c>
      <c r="B122" s="4">
        <f t="shared" si="5"/>
        <v>44</v>
      </c>
      <c r="C122" s="14">
        <v>45960</v>
      </c>
      <c r="D122" s="4">
        <v>66</v>
      </c>
      <c r="E122" s="4">
        <f>VLOOKUP(B122, wau!A:C,3,0)</f>
        <v>214</v>
      </c>
      <c r="F122" s="4">
        <f>VLOOKUP(A122,mau!A:C,3,0)</f>
        <v>393</v>
      </c>
      <c r="G122" s="12">
        <f t="shared" si="6"/>
        <v>0.30841121495327101</v>
      </c>
      <c r="H122" s="12">
        <f t="shared" si="7"/>
        <v>0.16793893129770993</v>
      </c>
    </row>
    <row r="123" spans="1:8" x14ac:dyDescent="0.3">
      <c r="A123" s="4">
        <f t="shared" si="4"/>
        <v>10</v>
      </c>
      <c r="B123" s="4">
        <f t="shared" si="5"/>
        <v>44</v>
      </c>
      <c r="C123" s="14">
        <v>45961</v>
      </c>
      <c r="D123" s="4">
        <v>72</v>
      </c>
      <c r="E123" s="4">
        <f>VLOOKUP(B123, wau!A:C,3,0)</f>
        <v>214</v>
      </c>
      <c r="F123" s="4">
        <f>VLOOKUP(A123,mau!A:C,3,0)</f>
        <v>393</v>
      </c>
      <c r="G123" s="12">
        <f t="shared" si="6"/>
        <v>0.3364485981308411</v>
      </c>
      <c r="H123" s="12">
        <f t="shared" si="7"/>
        <v>0.18320610687022901</v>
      </c>
    </row>
    <row r="124" spans="1:8" x14ac:dyDescent="0.3">
      <c r="A124" s="4">
        <f t="shared" si="4"/>
        <v>11</v>
      </c>
      <c r="B124" s="4">
        <f t="shared" si="5"/>
        <v>44</v>
      </c>
      <c r="C124" s="14">
        <v>45962</v>
      </c>
      <c r="D124" s="4">
        <v>58</v>
      </c>
      <c r="E124" s="4">
        <f>VLOOKUP(B124, wau!A:C,3,0)</f>
        <v>214</v>
      </c>
      <c r="F124" s="4">
        <f>VLOOKUP(A124,mau!A:C,3,0)</f>
        <v>426</v>
      </c>
      <c r="G124" s="12">
        <f t="shared" si="6"/>
        <v>0.27102803738317754</v>
      </c>
      <c r="H124" s="12">
        <f t="shared" si="7"/>
        <v>0.13615023474178403</v>
      </c>
    </row>
    <row r="125" spans="1:8" x14ac:dyDescent="0.3">
      <c r="A125" s="4">
        <f t="shared" si="4"/>
        <v>11</v>
      </c>
      <c r="B125" s="4">
        <f t="shared" si="5"/>
        <v>44</v>
      </c>
      <c r="C125" s="14">
        <v>45963</v>
      </c>
      <c r="D125" s="4">
        <v>55</v>
      </c>
      <c r="E125" s="4">
        <f>VLOOKUP(B125, wau!A:C,3,0)</f>
        <v>214</v>
      </c>
      <c r="F125" s="4">
        <f>VLOOKUP(A125,mau!A:C,3,0)</f>
        <v>426</v>
      </c>
      <c r="G125" s="12">
        <f t="shared" si="6"/>
        <v>0.2570093457943925</v>
      </c>
      <c r="H125" s="12">
        <f t="shared" si="7"/>
        <v>0.12910798122065728</v>
      </c>
    </row>
    <row r="126" spans="1:8" x14ac:dyDescent="0.3">
      <c r="A126" s="4">
        <f t="shared" si="4"/>
        <v>11</v>
      </c>
      <c r="B126" s="4">
        <f t="shared" si="5"/>
        <v>45</v>
      </c>
      <c r="C126" s="14">
        <v>45964</v>
      </c>
      <c r="D126" s="4">
        <v>56</v>
      </c>
      <c r="E126" s="4">
        <f>VLOOKUP(B126, wau!A:C,3,0)</f>
        <v>209</v>
      </c>
      <c r="F126" s="4">
        <f>VLOOKUP(A126,mau!A:C,3,0)</f>
        <v>426</v>
      </c>
      <c r="G126" s="12">
        <f t="shared" si="6"/>
        <v>0.26794258373205743</v>
      </c>
      <c r="H126" s="12">
        <f t="shared" si="7"/>
        <v>0.13145539906103287</v>
      </c>
    </row>
    <row r="127" spans="1:8" x14ac:dyDescent="0.3">
      <c r="A127" s="4">
        <f t="shared" si="4"/>
        <v>11</v>
      </c>
      <c r="B127" s="4">
        <f t="shared" si="5"/>
        <v>45</v>
      </c>
      <c r="C127" s="14">
        <v>45965</v>
      </c>
      <c r="D127" s="4">
        <v>63</v>
      </c>
      <c r="E127" s="4">
        <f>VLOOKUP(B127, wau!A:C,3,0)</f>
        <v>209</v>
      </c>
      <c r="F127" s="4">
        <f>VLOOKUP(A127,mau!A:C,3,0)</f>
        <v>426</v>
      </c>
      <c r="G127" s="12">
        <f t="shared" si="6"/>
        <v>0.30143540669856461</v>
      </c>
      <c r="H127" s="12">
        <f t="shared" si="7"/>
        <v>0.14788732394366197</v>
      </c>
    </row>
    <row r="128" spans="1:8" x14ac:dyDescent="0.3">
      <c r="A128" s="4">
        <f t="shared" si="4"/>
        <v>11</v>
      </c>
      <c r="B128" s="4">
        <f t="shared" si="5"/>
        <v>45</v>
      </c>
      <c r="C128" s="14">
        <v>45966</v>
      </c>
      <c r="D128" s="4">
        <v>69</v>
      </c>
      <c r="E128" s="4">
        <f>VLOOKUP(B128, wau!A:C,3,0)</f>
        <v>209</v>
      </c>
      <c r="F128" s="4">
        <f>VLOOKUP(A128,mau!A:C,3,0)</f>
        <v>426</v>
      </c>
      <c r="G128" s="12">
        <f t="shared" si="6"/>
        <v>0.33014354066985646</v>
      </c>
      <c r="H128" s="12">
        <f t="shared" si="7"/>
        <v>0.1619718309859155</v>
      </c>
    </row>
    <row r="129" spans="1:8" x14ac:dyDescent="0.3">
      <c r="A129" s="4">
        <f t="shared" si="4"/>
        <v>11</v>
      </c>
      <c r="B129" s="4">
        <f t="shared" si="5"/>
        <v>45</v>
      </c>
      <c r="C129" s="14">
        <v>45967</v>
      </c>
      <c r="D129" s="4">
        <v>62</v>
      </c>
      <c r="E129" s="4">
        <f>VLOOKUP(B129, wau!A:C,3,0)</f>
        <v>209</v>
      </c>
      <c r="F129" s="4">
        <f>VLOOKUP(A129,mau!A:C,3,0)</f>
        <v>426</v>
      </c>
      <c r="G129" s="12">
        <f t="shared" si="6"/>
        <v>0.29665071770334928</v>
      </c>
      <c r="H129" s="12">
        <f t="shared" si="7"/>
        <v>0.14553990610328638</v>
      </c>
    </row>
    <row r="130" spans="1:8" x14ac:dyDescent="0.3">
      <c r="A130" s="4">
        <f t="shared" si="4"/>
        <v>11</v>
      </c>
      <c r="B130" s="4">
        <f t="shared" si="5"/>
        <v>45</v>
      </c>
      <c r="C130" s="14">
        <v>45968</v>
      </c>
      <c r="D130" s="4">
        <v>60</v>
      </c>
      <c r="E130" s="4">
        <f>VLOOKUP(B130, wau!A:C,3,0)</f>
        <v>209</v>
      </c>
      <c r="F130" s="4">
        <f>VLOOKUP(A130,mau!A:C,3,0)</f>
        <v>426</v>
      </c>
      <c r="G130" s="12">
        <f t="shared" si="6"/>
        <v>0.28708133971291866</v>
      </c>
      <c r="H130" s="12">
        <f t="shared" si="7"/>
        <v>0.14084507042253522</v>
      </c>
    </row>
    <row r="131" spans="1:8" x14ac:dyDescent="0.3">
      <c r="A131" s="4">
        <f t="shared" ref="A131:A194" si="8">MONTH(C131)</f>
        <v>11</v>
      </c>
      <c r="B131" s="4">
        <f t="shared" ref="B131:B194" si="9">_xlfn.ISOWEEKNUM(C131)</f>
        <v>45</v>
      </c>
      <c r="C131" s="14">
        <v>45969</v>
      </c>
      <c r="D131" s="4">
        <v>60</v>
      </c>
      <c r="E131" s="4">
        <f>VLOOKUP(B131, wau!A:C,3,0)</f>
        <v>209</v>
      </c>
      <c r="F131" s="4">
        <f>VLOOKUP(A131,mau!A:C,3,0)</f>
        <v>426</v>
      </c>
      <c r="G131" s="12">
        <f t="shared" ref="G131:G194" si="10">D131/E131</f>
        <v>0.28708133971291866</v>
      </c>
      <c r="H131" s="12">
        <f t="shared" ref="H131:H194" si="11">D131/F131</f>
        <v>0.14084507042253522</v>
      </c>
    </row>
    <row r="132" spans="1:8" x14ac:dyDescent="0.3">
      <c r="A132" s="4">
        <f t="shared" si="8"/>
        <v>11</v>
      </c>
      <c r="B132" s="4">
        <f t="shared" si="9"/>
        <v>45</v>
      </c>
      <c r="C132" s="14">
        <v>45970</v>
      </c>
      <c r="D132" s="4">
        <v>60</v>
      </c>
      <c r="E132" s="4">
        <f>VLOOKUP(B132, wau!A:C,3,0)</f>
        <v>209</v>
      </c>
      <c r="F132" s="4">
        <f>VLOOKUP(A132,mau!A:C,3,0)</f>
        <v>426</v>
      </c>
      <c r="G132" s="12">
        <f t="shared" si="10"/>
        <v>0.28708133971291866</v>
      </c>
      <c r="H132" s="12">
        <f t="shared" si="11"/>
        <v>0.14084507042253522</v>
      </c>
    </row>
    <row r="133" spans="1:8" x14ac:dyDescent="0.3">
      <c r="A133" s="4">
        <f t="shared" si="8"/>
        <v>11</v>
      </c>
      <c r="B133" s="4">
        <f t="shared" si="9"/>
        <v>46</v>
      </c>
      <c r="C133" s="14">
        <v>45971</v>
      </c>
      <c r="D133" s="4">
        <v>55</v>
      </c>
      <c r="E133" s="4">
        <f>VLOOKUP(B133, wau!A:C,3,0)</f>
        <v>199</v>
      </c>
      <c r="F133" s="4">
        <f>VLOOKUP(A133,mau!A:C,3,0)</f>
        <v>426</v>
      </c>
      <c r="G133" s="12">
        <f t="shared" si="10"/>
        <v>0.27638190954773867</v>
      </c>
      <c r="H133" s="12">
        <f t="shared" si="11"/>
        <v>0.12910798122065728</v>
      </c>
    </row>
    <row r="134" spans="1:8" x14ac:dyDescent="0.3">
      <c r="A134" s="4">
        <f t="shared" si="8"/>
        <v>11</v>
      </c>
      <c r="B134" s="4">
        <f t="shared" si="9"/>
        <v>46</v>
      </c>
      <c r="C134" s="14">
        <v>45972</v>
      </c>
      <c r="D134" s="4">
        <v>62</v>
      </c>
      <c r="E134" s="4">
        <f>VLOOKUP(B134, wau!A:C,3,0)</f>
        <v>199</v>
      </c>
      <c r="F134" s="4">
        <f>VLOOKUP(A134,mau!A:C,3,0)</f>
        <v>426</v>
      </c>
      <c r="G134" s="12">
        <f t="shared" si="10"/>
        <v>0.31155778894472363</v>
      </c>
      <c r="H134" s="12">
        <f t="shared" si="11"/>
        <v>0.14553990610328638</v>
      </c>
    </row>
    <row r="135" spans="1:8" x14ac:dyDescent="0.3">
      <c r="A135" s="4">
        <f t="shared" si="8"/>
        <v>11</v>
      </c>
      <c r="B135" s="4">
        <f t="shared" si="9"/>
        <v>46</v>
      </c>
      <c r="C135" s="14">
        <v>45973</v>
      </c>
      <c r="D135" s="4">
        <v>53</v>
      </c>
      <c r="E135" s="4">
        <f>VLOOKUP(B135, wau!A:C,3,0)</f>
        <v>199</v>
      </c>
      <c r="F135" s="4">
        <f>VLOOKUP(A135,mau!A:C,3,0)</f>
        <v>426</v>
      </c>
      <c r="G135" s="12">
        <f t="shared" si="10"/>
        <v>0.26633165829145727</v>
      </c>
      <c r="H135" s="12">
        <f t="shared" si="11"/>
        <v>0.12441314553990611</v>
      </c>
    </row>
    <row r="136" spans="1:8" x14ac:dyDescent="0.3">
      <c r="A136" s="4">
        <f t="shared" si="8"/>
        <v>11</v>
      </c>
      <c r="B136" s="4">
        <f t="shared" si="9"/>
        <v>46</v>
      </c>
      <c r="C136" s="14">
        <v>45974</v>
      </c>
      <c r="D136" s="4">
        <v>54</v>
      </c>
      <c r="E136" s="4">
        <f>VLOOKUP(B136, wau!A:C,3,0)</f>
        <v>199</v>
      </c>
      <c r="F136" s="4">
        <f>VLOOKUP(A136,mau!A:C,3,0)</f>
        <v>426</v>
      </c>
      <c r="G136" s="12">
        <f t="shared" si="10"/>
        <v>0.271356783919598</v>
      </c>
      <c r="H136" s="12">
        <f t="shared" si="11"/>
        <v>0.12676056338028169</v>
      </c>
    </row>
    <row r="137" spans="1:8" x14ac:dyDescent="0.3">
      <c r="A137" s="4">
        <f t="shared" si="8"/>
        <v>11</v>
      </c>
      <c r="B137" s="4">
        <f t="shared" si="9"/>
        <v>46</v>
      </c>
      <c r="C137" s="14">
        <v>45975</v>
      </c>
      <c r="D137" s="4">
        <v>46</v>
      </c>
      <c r="E137" s="4">
        <f>VLOOKUP(B137, wau!A:C,3,0)</f>
        <v>199</v>
      </c>
      <c r="F137" s="4">
        <f>VLOOKUP(A137,mau!A:C,3,0)</f>
        <v>426</v>
      </c>
      <c r="G137" s="12">
        <f t="shared" si="10"/>
        <v>0.23115577889447236</v>
      </c>
      <c r="H137" s="12">
        <f t="shared" si="11"/>
        <v>0.107981220657277</v>
      </c>
    </row>
    <row r="138" spans="1:8" x14ac:dyDescent="0.3">
      <c r="A138" s="4">
        <f t="shared" si="8"/>
        <v>11</v>
      </c>
      <c r="B138" s="4">
        <f t="shared" si="9"/>
        <v>46</v>
      </c>
      <c r="C138" s="14">
        <v>45976</v>
      </c>
      <c r="D138" s="4">
        <v>55</v>
      </c>
      <c r="E138" s="4">
        <f>VLOOKUP(B138, wau!A:C,3,0)</f>
        <v>199</v>
      </c>
      <c r="F138" s="4">
        <f>VLOOKUP(A138,mau!A:C,3,0)</f>
        <v>426</v>
      </c>
      <c r="G138" s="12">
        <f t="shared" si="10"/>
        <v>0.27638190954773867</v>
      </c>
      <c r="H138" s="12">
        <f t="shared" si="11"/>
        <v>0.12910798122065728</v>
      </c>
    </row>
    <row r="139" spans="1:8" x14ac:dyDescent="0.3">
      <c r="A139" s="4">
        <f t="shared" si="8"/>
        <v>11</v>
      </c>
      <c r="B139" s="4">
        <f t="shared" si="9"/>
        <v>46</v>
      </c>
      <c r="C139" s="14">
        <v>45977</v>
      </c>
      <c r="D139" s="4">
        <v>51</v>
      </c>
      <c r="E139" s="4">
        <f>VLOOKUP(B139, wau!A:C,3,0)</f>
        <v>199</v>
      </c>
      <c r="F139" s="4">
        <f>VLOOKUP(A139,mau!A:C,3,0)</f>
        <v>426</v>
      </c>
      <c r="G139" s="12">
        <f t="shared" si="10"/>
        <v>0.25628140703517588</v>
      </c>
      <c r="H139" s="12">
        <f t="shared" si="11"/>
        <v>0.11971830985915492</v>
      </c>
    </row>
    <row r="140" spans="1:8" x14ac:dyDescent="0.3">
      <c r="A140" s="4">
        <f t="shared" si="8"/>
        <v>11</v>
      </c>
      <c r="B140" s="4">
        <f t="shared" si="9"/>
        <v>47</v>
      </c>
      <c r="C140" s="14">
        <v>45978</v>
      </c>
      <c r="D140" s="4">
        <v>58</v>
      </c>
      <c r="E140" s="4">
        <f>VLOOKUP(B140, wau!A:C,3,0)</f>
        <v>190</v>
      </c>
      <c r="F140" s="4">
        <f>VLOOKUP(A140,mau!A:C,3,0)</f>
        <v>426</v>
      </c>
      <c r="G140" s="12">
        <f t="shared" si="10"/>
        <v>0.30526315789473685</v>
      </c>
      <c r="H140" s="12">
        <f t="shared" si="11"/>
        <v>0.13615023474178403</v>
      </c>
    </row>
    <row r="141" spans="1:8" x14ac:dyDescent="0.3">
      <c r="A141" s="4">
        <f t="shared" si="8"/>
        <v>11</v>
      </c>
      <c r="B141" s="4">
        <f t="shared" si="9"/>
        <v>47</v>
      </c>
      <c r="C141" s="14">
        <v>45979</v>
      </c>
      <c r="D141" s="4">
        <v>51</v>
      </c>
      <c r="E141" s="4">
        <f>VLOOKUP(B141, wau!A:C,3,0)</f>
        <v>190</v>
      </c>
      <c r="F141" s="4">
        <f>VLOOKUP(A141,mau!A:C,3,0)</f>
        <v>426</v>
      </c>
      <c r="G141" s="12">
        <f t="shared" si="10"/>
        <v>0.26842105263157895</v>
      </c>
      <c r="H141" s="12">
        <f t="shared" si="11"/>
        <v>0.11971830985915492</v>
      </c>
    </row>
    <row r="142" spans="1:8" x14ac:dyDescent="0.3">
      <c r="A142" s="4">
        <f t="shared" si="8"/>
        <v>11</v>
      </c>
      <c r="B142" s="4">
        <f t="shared" si="9"/>
        <v>47</v>
      </c>
      <c r="C142" s="14">
        <v>45980</v>
      </c>
      <c r="D142" s="4">
        <v>40</v>
      </c>
      <c r="E142" s="4">
        <f>VLOOKUP(B142, wau!A:C,3,0)</f>
        <v>190</v>
      </c>
      <c r="F142" s="4">
        <f>VLOOKUP(A142,mau!A:C,3,0)</f>
        <v>426</v>
      </c>
      <c r="G142" s="12">
        <f t="shared" si="10"/>
        <v>0.21052631578947367</v>
      </c>
      <c r="H142" s="12">
        <f t="shared" si="11"/>
        <v>9.3896713615023469E-2</v>
      </c>
    </row>
    <row r="143" spans="1:8" x14ac:dyDescent="0.3">
      <c r="A143" s="4">
        <f t="shared" si="8"/>
        <v>11</v>
      </c>
      <c r="B143" s="4">
        <f t="shared" si="9"/>
        <v>47</v>
      </c>
      <c r="C143" s="14">
        <v>45981</v>
      </c>
      <c r="D143" s="4">
        <v>50</v>
      </c>
      <c r="E143" s="4">
        <f>VLOOKUP(B143, wau!A:C,3,0)</f>
        <v>190</v>
      </c>
      <c r="F143" s="4">
        <f>VLOOKUP(A143,mau!A:C,3,0)</f>
        <v>426</v>
      </c>
      <c r="G143" s="12">
        <f t="shared" si="10"/>
        <v>0.26315789473684209</v>
      </c>
      <c r="H143" s="12">
        <f t="shared" si="11"/>
        <v>0.11737089201877934</v>
      </c>
    </row>
    <row r="144" spans="1:8" x14ac:dyDescent="0.3">
      <c r="A144" s="4">
        <f t="shared" si="8"/>
        <v>11</v>
      </c>
      <c r="B144" s="4">
        <f t="shared" si="9"/>
        <v>47</v>
      </c>
      <c r="C144" s="14">
        <v>45982</v>
      </c>
      <c r="D144" s="4">
        <v>34</v>
      </c>
      <c r="E144" s="4">
        <f>VLOOKUP(B144, wau!A:C,3,0)</f>
        <v>190</v>
      </c>
      <c r="F144" s="4">
        <f>VLOOKUP(A144,mau!A:C,3,0)</f>
        <v>426</v>
      </c>
      <c r="G144" s="12">
        <f t="shared" si="10"/>
        <v>0.17894736842105263</v>
      </c>
      <c r="H144" s="12">
        <f t="shared" si="11"/>
        <v>7.9812206572769953E-2</v>
      </c>
    </row>
    <row r="145" spans="1:8" x14ac:dyDescent="0.3">
      <c r="A145" s="4">
        <f t="shared" si="8"/>
        <v>11</v>
      </c>
      <c r="B145" s="4">
        <f t="shared" si="9"/>
        <v>47</v>
      </c>
      <c r="C145" s="14">
        <v>45983</v>
      </c>
      <c r="D145" s="4">
        <v>41</v>
      </c>
      <c r="E145" s="4">
        <f>VLOOKUP(B145, wau!A:C,3,0)</f>
        <v>190</v>
      </c>
      <c r="F145" s="4">
        <f>VLOOKUP(A145,mau!A:C,3,0)</f>
        <v>426</v>
      </c>
      <c r="G145" s="12">
        <f t="shared" si="10"/>
        <v>0.21578947368421053</v>
      </c>
      <c r="H145" s="12">
        <f t="shared" si="11"/>
        <v>9.6244131455399062E-2</v>
      </c>
    </row>
    <row r="146" spans="1:8" x14ac:dyDescent="0.3">
      <c r="A146" s="4">
        <f t="shared" si="8"/>
        <v>11</v>
      </c>
      <c r="B146" s="4">
        <f t="shared" si="9"/>
        <v>47</v>
      </c>
      <c r="C146" s="14">
        <v>45984</v>
      </c>
      <c r="D146" s="4">
        <v>39</v>
      </c>
      <c r="E146" s="4">
        <f>VLOOKUP(B146, wau!A:C,3,0)</f>
        <v>190</v>
      </c>
      <c r="F146" s="4">
        <f>VLOOKUP(A146,mau!A:C,3,0)</f>
        <v>426</v>
      </c>
      <c r="G146" s="12">
        <f t="shared" si="10"/>
        <v>0.20526315789473684</v>
      </c>
      <c r="H146" s="12">
        <f t="shared" si="11"/>
        <v>9.154929577464789E-2</v>
      </c>
    </row>
    <row r="147" spans="1:8" x14ac:dyDescent="0.3">
      <c r="A147" s="4">
        <f t="shared" si="8"/>
        <v>11</v>
      </c>
      <c r="B147" s="4">
        <f t="shared" si="9"/>
        <v>48</v>
      </c>
      <c r="C147" s="14">
        <v>45985</v>
      </c>
      <c r="D147" s="4">
        <v>32</v>
      </c>
      <c r="E147" s="4">
        <f>VLOOKUP(B147, wau!A:C,3,0)</f>
        <v>168</v>
      </c>
      <c r="F147" s="4">
        <f>VLOOKUP(A147,mau!A:C,3,0)</f>
        <v>426</v>
      </c>
      <c r="G147" s="12">
        <f t="shared" si="10"/>
        <v>0.19047619047619047</v>
      </c>
      <c r="H147" s="12">
        <f t="shared" si="11"/>
        <v>7.5117370892018781E-2</v>
      </c>
    </row>
    <row r="148" spans="1:8" x14ac:dyDescent="0.3">
      <c r="A148" s="4">
        <f t="shared" si="8"/>
        <v>11</v>
      </c>
      <c r="B148" s="4">
        <f t="shared" si="9"/>
        <v>48</v>
      </c>
      <c r="C148" s="14">
        <v>45986</v>
      </c>
      <c r="D148" s="4">
        <v>32</v>
      </c>
      <c r="E148" s="4">
        <f>VLOOKUP(B148, wau!A:C,3,0)</f>
        <v>168</v>
      </c>
      <c r="F148" s="4">
        <f>VLOOKUP(A148,mau!A:C,3,0)</f>
        <v>426</v>
      </c>
      <c r="G148" s="12">
        <f t="shared" si="10"/>
        <v>0.19047619047619047</v>
      </c>
      <c r="H148" s="12">
        <f t="shared" si="11"/>
        <v>7.5117370892018781E-2</v>
      </c>
    </row>
    <row r="149" spans="1:8" x14ac:dyDescent="0.3">
      <c r="A149" s="4">
        <f t="shared" si="8"/>
        <v>11</v>
      </c>
      <c r="B149" s="4">
        <f t="shared" si="9"/>
        <v>48</v>
      </c>
      <c r="C149" s="14">
        <v>45987</v>
      </c>
      <c r="D149" s="4">
        <v>31</v>
      </c>
      <c r="E149" s="4">
        <f>VLOOKUP(B149, wau!A:C,3,0)</f>
        <v>168</v>
      </c>
      <c r="F149" s="4">
        <f>VLOOKUP(A149,mau!A:C,3,0)</f>
        <v>426</v>
      </c>
      <c r="G149" s="12">
        <f t="shared" si="10"/>
        <v>0.18452380952380953</v>
      </c>
      <c r="H149" s="12">
        <f t="shared" si="11"/>
        <v>7.2769953051643188E-2</v>
      </c>
    </row>
    <row r="150" spans="1:8" x14ac:dyDescent="0.3">
      <c r="A150" s="4">
        <f t="shared" si="8"/>
        <v>11</v>
      </c>
      <c r="B150" s="4">
        <f t="shared" si="9"/>
        <v>48</v>
      </c>
      <c r="C150" s="14">
        <v>45988</v>
      </c>
      <c r="D150" s="4">
        <v>35</v>
      </c>
      <c r="E150" s="4">
        <f>VLOOKUP(B150, wau!A:C,3,0)</f>
        <v>168</v>
      </c>
      <c r="F150" s="4">
        <f>VLOOKUP(A150,mau!A:C,3,0)</f>
        <v>426</v>
      </c>
      <c r="G150" s="12">
        <f t="shared" si="10"/>
        <v>0.20833333333333334</v>
      </c>
      <c r="H150" s="12">
        <f t="shared" si="11"/>
        <v>8.2159624413145546E-2</v>
      </c>
    </row>
    <row r="151" spans="1:8" x14ac:dyDescent="0.3">
      <c r="A151" s="4">
        <f t="shared" si="8"/>
        <v>11</v>
      </c>
      <c r="B151" s="4">
        <f t="shared" si="9"/>
        <v>48</v>
      </c>
      <c r="C151" s="14">
        <v>45989</v>
      </c>
      <c r="D151" s="4">
        <v>32</v>
      </c>
      <c r="E151" s="4">
        <f>VLOOKUP(B151, wau!A:C,3,0)</f>
        <v>168</v>
      </c>
      <c r="F151" s="4">
        <f>VLOOKUP(A151,mau!A:C,3,0)</f>
        <v>426</v>
      </c>
      <c r="G151" s="12">
        <f t="shared" si="10"/>
        <v>0.19047619047619047</v>
      </c>
      <c r="H151" s="12">
        <f t="shared" si="11"/>
        <v>7.5117370892018781E-2</v>
      </c>
    </row>
    <row r="152" spans="1:8" x14ac:dyDescent="0.3">
      <c r="A152" s="4">
        <f t="shared" si="8"/>
        <v>11</v>
      </c>
      <c r="B152" s="4">
        <f t="shared" si="9"/>
        <v>48</v>
      </c>
      <c r="C152" s="14">
        <v>45990</v>
      </c>
      <c r="D152" s="4">
        <v>23</v>
      </c>
      <c r="E152" s="4">
        <f>VLOOKUP(B152, wau!A:C,3,0)</f>
        <v>168</v>
      </c>
      <c r="F152" s="4">
        <f>VLOOKUP(A152,mau!A:C,3,0)</f>
        <v>426</v>
      </c>
      <c r="G152" s="12">
        <f t="shared" si="10"/>
        <v>0.13690476190476192</v>
      </c>
      <c r="H152" s="12">
        <f t="shared" si="11"/>
        <v>5.39906103286385E-2</v>
      </c>
    </row>
    <row r="153" spans="1:8" x14ac:dyDescent="0.3">
      <c r="A153" s="4">
        <f t="shared" si="8"/>
        <v>11</v>
      </c>
      <c r="B153" s="4">
        <f t="shared" si="9"/>
        <v>48</v>
      </c>
      <c r="C153" s="14">
        <v>45991</v>
      </c>
      <c r="D153" s="4">
        <v>35</v>
      </c>
      <c r="E153" s="4">
        <f>VLOOKUP(B153, wau!A:C,3,0)</f>
        <v>168</v>
      </c>
      <c r="F153" s="4">
        <f>VLOOKUP(A153,mau!A:C,3,0)</f>
        <v>426</v>
      </c>
      <c r="G153" s="12">
        <f t="shared" si="10"/>
        <v>0.20833333333333334</v>
      </c>
      <c r="H153" s="12">
        <f t="shared" si="11"/>
        <v>8.2159624413145546E-2</v>
      </c>
    </row>
    <row r="154" spans="1:8" x14ac:dyDescent="0.3">
      <c r="A154" s="4">
        <f t="shared" si="8"/>
        <v>12</v>
      </c>
      <c r="B154" s="4">
        <f t="shared" si="9"/>
        <v>49</v>
      </c>
      <c r="C154" s="14">
        <v>45992</v>
      </c>
      <c r="D154" s="4">
        <v>32</v>
      </c>
      <c r="E154" s="4">
        <f>VLOOKUP(B154, wau!A:C,3,0)</f>
        <v>149</v>
      </c>
      <c r="F154" s="4">
        <f>VLOOKUP(A154,mau!A:C,3,0)</f>
        <v>390</v>
      </c>
      <c r="G154" s="12">
        <f t="shared" si="10"/>
        <v>0.21476510067114093</v>
      </c>
      <c r="H154" s="12">
        <f t="shared" si="11"/>
        <v>8.2051282051282051E-2</v>
      </c>
    </row>
    <row r="155" spans="1:8" x14ac:dyDescent="0.3">
      <c r="A155" s="4">
        <f t="shared" si="8"/>
        <v>12</v>
      </c>
      <c r="B155" s="4">
        <f t="shared" si="9"/>
        <v>49</v>
      </c>
      <c r="C155" s="14">
        <v>45993</v>
      </c>
      <c r="D155" s="4">
        <v>25</v>
      </c>
      <c r="E155" s="4">
        <f>VLOOKUP(B155, wau!A:C,3,0)</f>
        <v>149</v>
      </c>
      <c r="F155" s="4">
        <f>VLOOKUP(A155,mau!A:C,3,0)</f>
        <v>390</v>
      </c>
      <c r="G155" s="12">
        <f t="shared" si="10"/>
        <v>0.16778523489932887</v>
      </c>
      <c r="H155" s="12">
        <f t="shared" si="11"/>
        <v>6.4102564102564097E-2</v>
      </c>
    </row>
    <row r="156" spans="1:8" x14ac:dyDescent="0.3">
      <c r="A156" s="4">
        <f t="shared" si="8"/>
        <v>12</v>
      </c>
      <c r="B156" s="4">
        <f t="shared" si="9"/>
        <v>49</v>
      </c>
      <c r="C156" s="14">
        <v>45994</v>
      </c>
      <c r="D156" s="4">
        <v>19</v>
      </c>
      <c r="E156" s="4">
        <f>VLOOKUP(B156, wau!A:C,3,0)</f>
        <v>149</v>
      </c>
      <c r="F156" s="4">
        <f>VLOOKUP(A156,mau!A:C,3,0)</f>
        <v>390</v>
      </c>
      <c r="G156" s="12">
        <f t="shared" si="10"/>
        <v>0.12751677852348994</v>
      </c>
      <c r="H156" s="12">
        <f t="shared" si="11"/>
        <v>4.8717948717948718E-2</v>
      </c>
    </row>
    <row r="157" spans="1:8" x14ac:dyDescent="0.3">
      <c r="A157" s="4">
        <f t="shared" si="8"/>
        <v>12</v>
      </c>
      <c r="B157" s="4">
        <f t="shared" si="9"/>
        <v>49</v>
      </c>
      <c r="C157" s="14">
        <v>45995</v>
      </c>
      <c r="D157" s="4">
        <v>30</v>
      </c>
      <c r="E157" s="4">
        <f>VLOOKUP(B157, wau!A:C,3,0)</f>
        <v>149</v>
      </c>
      <c r="F157" s="4">
        <f>VLOOKUP(A157,mau!A:C,3,0)</f>
        <v>390</v>
      </c>
      <c r="G157" s="12">
        <f t="shared" si="10"/>
        <v>0.20134228187919462</v>
      </c>
      <c r="H157" s="12">
        <f t="shared" si="11"/>
        <v>7.6923076923076927E-2</v>
      </c>
    </row>
    <row r="158" spans="1:8" x14ac:dyDescent="0.3">
      <c r="A158" s="4">
        <f t="shared" si="8"/>
        <v>12</v>
      </c>
      <c r="B158" s="4">
        <f t="shared" si="9"/>
        <v>49</v>
      </c>
      <c r="C158" s="14">
        <v>45996</v>
      </c>
      <c r="D158" s="4">
        <v>23</v>
      </c>
      <c r="E158" s="4">
        <f>VLOOKUP(B158, wau!A:C,3,0)</f>
        <v>149</v>
      </c>
      <c r="F158" s="4">
        <f>VLOOKUP(A158,mau!A:C,3,0)</f>
        <v>390</v>
      </c>
      <c r="G158" s="12">
        <f t="shared" si="10"/>
        <v>0.15436241610738255</v>
      </c>
      <c r="H158" s="12">
        <f t="shared" si="11"/>
        <v>5.8974358974358973E-2</v>
      </c>
    </row>
    <row r="159" spans="1:8" x14ac:dyDescent="0.3">
      <c r="A159" s="4">
        <f t="shared" si="8"/>
        <v>12</v>
      </c>
      <c r="B159" s="4">
        <f t="shared" si="9"/>
        <v>49</v>
      </c>
      <c r="C159" s="14">
        <v>45997</v>
      </c>
      <c r="D159" s="4">
        <v>32</v>
      </c>
      <c r="E159" s="4">
        <f>VLOOKUP(B159, wau!A:C,3,0)</f>
        <v>149</v>
      </c>
      <c r="F159" s="4">
        <f>VLOOKUP(A159,mau!A:C,3,0)</f>
        <v>390</v>
      </c>
      <c r="G159" s="12">
        <f t="shared" si="10"/>
        <v>0.21476510067114093</v>
      </c>
      <c r="H159" s="12">
        <f t="shared" si="11"/>
        <v>8.2051282051282051E-2</v>
      </c>
    </row>
    <row r="160" spans="1:8" x14ac:dyDescent="0.3">
      <c r="A160" s="4">
        <f t="shared" si="8"/>
        <v>12</v>
      </c>
      <c r="B160" s="4">
        <f t="shared" si="9"/>
        <v>49</v>
      </c>
      <c r="C160" s="14">
        <v>45998</v>
      </c>
      <c r="D160" s="4">
        <v>35</v>
      </c>
      <c r="E160" s="4">
        <f>VLOOKUP(B160, wau!A:C,3,0)</f>
        <v>149</v>
      </c>
      <c r="F160" s="4">
        <f>VLOOKUP(A160,mau!A:C,3,0)</f>
        <v>390</v>
      </c>
      <c r="G160" s="12">
        <f t="shared" si="10"/>
        <v>0.2348993288590604</v>
      </c>
      <c r="H160" s="12">
        <f t="shared" si="11"/>
        <v>8.9743589743589744E-2</v>
      </c>
    </row>
    <row r="161" spans="1:8" x14ac:dyDescent="0.3">
      <c r="A161" s="4">
        <f t="shared" si="8"/>
        <v>12</v>
      </c>
      <c r="B161" s="4">
        <f t="shared" si="9"/>
        <v>50</v>
      </c>
      <c r="C161" s="14">
        <v>45999</v>
      </c>
      <c r="D161" s="4">
        <v>29</v>
      </c>
      <c r="E161" s="4">
        <f>VLOOKUP(B161, wau!A:C,3,0)</f>
        <v>147</v>
      </c>
      <c r="F161" s="4">
        <f>VLOOKUP(A161,mau!A:C,3,0)</f>
        <v>390</v>
      </c>
      <c r="G161" s="12">
        <f t="shared" si="10"/>
        <v>0.19727891156462585</v>
      </c>
      <c r="H161" s="12">
        <f t="shared" si="11"/>
        <v>7.4358974358974358E-2</v>
      </c>
    </row>
    <row r="162" spans="1:8" x14ac:dyDescent="0.3">
      <c r="A162" s="4">
        <f t="shared" si="8"/>
        <v>12</v>
      </c>
      <c r="B162" s="4">
        <f t="shared" si="9"/>
        <v>50</v>
      </c>
      <c r="C162" s="14">
        <v>46000</v>
      </c>
      <c r="D162" s="4">
        <v>36</v>
      </c>
      <c r="E162" s="4">
        <f>VLOOKUP(B162, wau!A:C,3,0)</f>
        <v>147</v>
      </c>
      <c r="F162" s="4">
        <f>VLOOKUP(A162,mau!A:C,3,0)</f>
        <v>390</v>
      </c>
      <c r="G162" s="12">
        <f t="shared" si="10"/>
        <v>0.24489795918367346</v>
      </c>
      <c r="H162" s="12">
        <f t="shared" si="11"/>
        <v>9.2307692307692313E-2</v>
      </c>
    </row>
    <row r="163" spans="1:8" x14ac:dyDescent="0.3">
      <c r="A163" s="4">
        <f t="shared" si="8"/>
        <v>12</v>
      </c>
      <c r="B163" s="4">
        <f t="shared" si="9"/>
        <v>50</v>
      </c>
      <c r="C163" s="14">
        <v>46001</v>
      </c>
      <c r="D163" s="4">
        <v>30</v>
      </c>
      <c r="E163" s="4">
        <f>VLOOKUP(B163, wau!A:C,3,0)</f>
        <v>147</v>
      </c>
      <c r="F163" s="4">
        <f>VLOOKUP(A163,mau!A:C,3,0)</f>
        <v>390</v>
      </c>
      <c r="G163" s="12">
        <f t="shared" si="10"/>
        <v>0.20408163265306123</v>
      </c>
      <c r="H163" s="12">
        <f t="shared" si="11"/>
        <v>7.6923076923076927E-2</v>
      </c>
    </row>
    <row r="164" spans="1:8" x14ac:dyDescent="0.3">
      <c r="A164" s="4">
        <f t="shared" si="8"/>
        <v>12</v>
      </c>
      <c r="B164" s="4">
        <f t="shared" si="9"/>
        <v>50</v>
      </c>
      <c r="C164" s="14">
        <v>46002</v>
      </c>
      <c r="D164" s="4">
        <v>25</v>
      </c>
      <c r="E164" s="4">
        <f>VLOOKUP(B164, wau!A:C,3,0)</f>
        <v>147</v>
      </c>
      <c r="F164" s="4">
        <f>VLOOKUP(A164,mau!A:C,3,0)</f>
        <v>390</v>
      </c>
      <c r="G164" s="12">
        <f t="shared" si="10"/>
        <v>0.17006802721088435</v>
      </c>
      <c r="H164" s="12">
        <f t="shared" si="11"/>
        <v>6.4102564102564097E-2</v>
      </c>
    </row>
    <row r="165" spans="1:8" x14ac:dyDescent="0.3">
      <c r="A165" s="4">
        <f t="shared" si="8"/>
        <v>12</v>
      </c>
      <c r="B165" s="4">
        <f t="shared" si="9"/>
        <v>50</v>
      </c>
      <c r="C165" s="14">
        <v>46003</v>
      </c>
      <c r="D165" s="4">
        <v>31</v>
      </c>
      <c r="E165" s="4">
        <f>VLOOKUP(B165, wau!A:C,3,0)</f>
        <v>147</v>
      </c>
      <c r="F165" s="4">
        <f>VLOOKUP(A165,mau!A:C,3,0)</f>
        <v>390</v>
      </c>
      <c r="G165" s="12">
        <f t="shared" si="10"/>
        <v>0.21088435374149661</v>
      </c>
      <c r="H165" s="12">
        <f t="shared" si="11"/>
        <v>7.9487179487179482E-2</v>
      </c>
    </row>
    <row r="166" spans="1:8" x14ac:dyDescent="0.3">
      <c r="A166" s="4">
        <f t="shared" si="8"/>
        <v>12</v>
      </c>
      <c r="B166" s="4">
        <f t="shared" si="9"/>
        <v>50</v>
      </c>
      <c r="C166" s="14">
        <v>46004</v>
      </c>
      <c r="D166" s="4">
        <v>34</v>
      </c>
      <c r="E166" s="4">
        <f>VLOOKUP(B166, wau!A:C,3,0)</f>
        <v>147</v>
      </c>
      <c r="F166" s="4">
        <f>VLOOKUP(A166,mau!A:C,3,0)</f>
        <v>390</v>
      </c>
      <c r="G166" s="12">
        <f t="shared" si="10"/>
        <v>0.23129251700680273</v>
      </c>
      <c r="H166" s="12">
        <f t="shared" si="11"/>
        <v>8.7179487179487175E-2</v>
      </c>
    </row>
    <row r="167" spans="1:8" x14ac:dyDescent="0.3">
      <c r="A167" s="4">
        <f t="shared" si="8"/>
        <v>12</v>
      </c>
      <c r="B167" s="4">
        <f t="shared" si="9"/>
        <v>50</v>
      </c>
      <c r="C167" s="14">
        <v>46005</v>
      </c>
      <c r="D167" s="4">
        <v>22</v>
      </c>
      <c r="E167" s="4">
        <f>VLOOKUP(B167, wau!A:C,3,0)</f>
        <v>147</v>
      </c>
      <c r="F167" s="4">
        <f>VLOOKUP(A167,mau!A:C,3,0)</f>
        <v>390</v>
      </c>
      <c r="G167" s="12">
        <f t="shared" si="10"/>
        <v>0.14965986394557823</v>
      </c>
      <c r="H167" s="12">
        <f t="shared" si="11"/>
        <v>5.6410256410256411E-2</v>
      </c>
    </row>
    <row r="168" spans="1:8" x14ac:dyDescent="0.3">
      <c r="A168" s="4">
        <f t="shared" si="8"/>
        <v>12</v>
      </c>
      <c r="B168" s="4">
        <f t="shared" si="9"/>
        <v>51</v>
      </c>
      <c r="C168" s="14">
        <v>46006</v>
      </c>
      <c r="D168" s="4">
        <v>26</v>
      </c>
      <c r="E168" s="4">
        <f>VLOOKUP(B168, wau!A:C,3,0)</f>
        <v>141</v>
      </c>
      <c r="F168" s="4">
        <f>VLOOKUP(A168,mau!A:C,3,0)</f>
        <v>390</v>
      </c>
      <c r="G168" s="12">
        <f t="shared" si="10"/>
        <v>0.18439716312056736</v>
      </c>
      <c r="H168" s="12">
        <f t="shared" si="11"/>
        <v>6.6666666666666666E-2</v>
      </c>
    </row>
    <row r="169" spans="1:8" x14ac:dyDescent="0.3">
      <c r="A169" s="4">
        <f t="shared" si="8"/>
        <v>12</v>
      </c>
      <c r="B169" s="4">
        <f t="shared" si="9"/>
        <v>51</v>
      </c>
      <c r="C169" s="14">
        <v>46007</v>
      </c>
      <c r="D169" s="4">
        <v>27</v>
      </c>
      <c r="E169" s="4">
        <f>VLOOKUP(B169, wau!A:C,3,0)</f>
        <v>141</v>
      </c>
      <c r="F169" s="4">
        <f>VLOOKUP(A169,mau!A:C,3,0)</f>
        <v>390</v>
      </c>
      <c r="G169" s="12">
        <f t="shared" si="10"/>
        <v>0.19148936170212766</v>
      </c>
      <c r="H169" s="12">
        <f t="shared" si="11"/>
        <v>6.9230769230769235E-2</v>
      </c>
    </row>
    <row r="170" spans="1:8" x14ac:dyDescent="0.3">
      <c r="A170" s="4">
        <f t="shared" si="8"/>
        <v>12</v>
      </c>
      <c r="B170" s="4">
        <f t="shared" si="9"/>
        <v>51</v>
      </c>
      <c r="C170" s="14">
        <v>46008</v>
      </c>
      <c r="D170" s="4">
        <v>28</v>
      </c>
      <c r="E170" s="4">
        <f>VLOOKUP(B170, wau!A:C,3,0)</f>
        <v>141</v>
      </c>
      <c r="F170" s="4">
        <f>VLOOKUP(A170,mau!A:C,3,0)</f>
        <v>390</v>
      </c>
      <c r="G170" s="12">
        <f t="shared" si="10"/>
        <v>0.19858156028368795</v>
      </c>
      <c r="H170" s="12">
        <f t="shared" si="11"/>
        <v>7.179487179487179E-2</v>
      </c>
    </row>
    <row r="171" spans="1:8" x14ac:dyDescent="0.3">
      <c r="A171" s="4">
        <f t="shared" si="8"/>
        <v>12</v>
      </c>
      <c r="B171" s="4">
        <f t="shared" si="9"/>
        <v>51</v>
      </c>
      <c r="C171" s="14">
        <v>46009</v>
      </c>
      <c r="D171" s="4">
        <v>20</v>
      </c>
      <c r="E171" s="4">
        <f>VLOOKUP(B171, wau!A:C,3,0)</f>
        <v>141</v>
      </c>
      <c r="F171" s="4">
        <f>VLOOKUP(A171,mau!A:C,3,0)</f>
        <v>390</v>
      </c>
      <c r="G171" s="12">
        <f t="shared" si="10"/>
        <v>0.14184397163120568</v>
      </c>
      <c r="H171" s="12">
        <f t="shared" si="11"/>
        <v>5.128205128205128E-2</v>
      </c>
    </row>
    <row r="172" spans="1:8" x14ac:dyDescent="0.3">
      <c r="A172" s="4">
        <f t="shared" si="8"/>
        <v>12</v>
      </c>
      <c r="B172" s="4">
        <f t="shared" si="9"/>
        <v>51</v>
      </c>
      <c r="C172" s="14">
        <v>46010</v>
      </c>
      <c r="D172" s="4">
        <v>32</v>
      </c>
      <c r="E172" s="4">
        <f>VLOOKUP(B172, wau!A:C,3,0)</f>
        <v>141</v>
      </c>
      <c r="F172" s="4">
        <f>VLOOKUP(A172,mau!A:C,3,0)</f>
        <v>390</v>
      </c>
      <c r="G172" s="12">
        <f t="shared" si="10"/>
        <v>0.22695035460992907</v>
      </c>
      <c r="H172" s="12">
        <f t="shared" si="11"/>
        <v>8.2051282051282051E-2</v>
      </c>
    </row>
    <row r="173" spans="1:8" x14ac:dyDescent="0.3">
      <c r="A173" s="4">
        <f t="shared" si="8"/>
        <v>12</v>
      </c>
      <c r="B173" s="4">
        <f t="shared" si="9"/>
        <v>51</v>
      </c>
      <c r="C173" s="14">
        <v>46011</v>
      </c>
      <c r="D173" s="4">
        <v>28</v>
      </c>
      <c r="E173" s="4">
        <f>VLOOKUP(B173, wau!A:C,3,0)</f>
        <v>141</v>
      </c>
      <c r="F173" s="4">
        <f>VLOOKUP(A173,mau!A:C,3,0)</f>
        <v>390</v>
      </c>
      <c r="G173" s="12">
        <f t="shared" si="10"/>
        <v>0.19858156028368795</v>
      </c>
      <c r="H173" s="12">
        <f t="shared" si="11"/>
        <v>7.179487179487179E-2</v>
      </c>
    </row>
    <row r="174" spans="1:8" x14ac:dyDescent="0.3">
      <c r="A174" s="4">
        <f t="shared" si="8"/>
        <v>12</v>
      </c>
      <c r="B174" s="4">
        <f t="shared" si="9"/>
        <v>51</v>
      </c>
      <c r="C174" s="14">
        <v>46012</v>
      </c>
      <c r="D174" s="4">
        <v>28</v>
      </c>
      <c r="E174" s="4">
        <f>VLOOKUP(B174, wau!A:C,3,0)</f>
        <v>141</v>
      </c>
      <c r="F174" s="4">
        <f>VLOOKUP(A174,mau!A:C,3,0)</f>
        <v>390</v>
      </c>
      <c r="G174" s="12">
        <f t="shared" si="10"/>
        <v>0.19858156028368795</v>
      </c>
      <c r="H174" s="12">
        <f t="shared" si="11"/>
        <v>7.179487179487179E-2</v>
      </c>
    </row>
    <row r="175" spans="1:8" x14ac:dyDescent="0.3">
      <c r="A175" s="4">
        <f t="shared" si="8"/>
        <v>12</v>
      </c>
      <c r="B175" s="4">
        <f t="shared" si="9"/>
        <v>52</v>
      </c>
      <c r="C175" s="14">
        <v>46013</v>
      </c>
      <c r="D175" s="4">
        <v>29</v>
      </c>
      <c r="E175" s="4">
        <f>VLOOKUP(B175, wau!A:C,3,0)</f>
        <v>145</v>
      </c>
      <c r="F175" s="4">
        <f>VLOOKUP(A175,mau!A:C,3,0)</f>
        <v>390</v>
      </c>
      <c r="G175" s="12">
        <f t="shared" si="10"/>
        <v>0.2</v>
      </c>
      <c r="H175" s="12">
        <f t="shared" si="11"/>
        <v>7.4358974358974358E-2</v>
      </c>
    </row>
    <row r="176" spans="1:8" x14ac:dyDescent="0.3">
      <c r="A176" s="4">
        <f t="shared" si="8"/>
        <v>12</v>
      </c>
      <c r="B176" s="4">
        <f t="shared" si="9"/>
        <v>52</v>
      </c>
      <c r="C176" s="14">
        <v>46014</v>
      </c>
      <c r="D176" s="4">
        <v>36</v>
      </c>
      <c r="E176" s="4">
        <f>VLOOKUP(B176, wau!A:C,3,0)</f>
        <v>145</v>
      </c>
      <c r="F176" s="4">
        <f>VLOOKUP(A176,mau!A:C,3,0)</f>
        <v>390</v>
      </c>
      <c r="G176" s="12">
        <f t="shared" si="10"/>
        <v>0.24827586206896551</v>
      </c>
      <c r="H176" s="12">
        <f t="shared" si="11"/>
        <v>9.2307692307692313E-2</v>
      </c>
    </row>
    <row r="177" spans="1:8" x14ac:dyDescent="0.3">
      <c r="A177" s="4">
        <f t="shared" si="8"/>
        <v>12</v>
      </c>
      <c r="B177" s="4">
        <f t="shared" si="9"/>
        <v>52</v>
      </c>
      <c r="C177" s="14">
        <v>46015</v>
      </c>
      <c r="D177" s="4">
        <v>24</v>
      </c>
      <c r="E177" s="4">
        <f>VLOOKUP(B177, wau!A:C,3,0)</f>
        <v>145</v>
      </c>
      <c r="F177" s="4">
        <f>VLOOKUP(A177,mau!A:C,3,0)</f>
        <v>390</v>
      </c>
      <c r="G177" s="12">
        <f t="shared" si="10"/>
        <v>0.16551724137931034</v>
      </c>
      <c r="H177" s="12">
        <f t="shared" si="11"/>
        <v>6.1538461538461542E-2</v>
      </c>
    </row>
    <row r="178" spans="1:8" x14ac:dyDescent="0.3">
      <c r="A178" s="4">
        <f t="shared" si="8"/>
        <v>12</v>
      </c>
      <c r="B178" s="4">
        <f t="shared" si="9"/>
        <v>52</v>
      </c>
      <c r="C178" s="14">
        <v>46016</v>
      </c>
      <c r="D178" s="4">
        <v>33</v>
      </c>
      <c r="E178" s="4">
        <f>VLOOKUP(B178, wau!A:C,3,0)</f>
        <v>145</v>
      </c>
      <c r="F178" s="4">
        <f>VLOOKUP(A178,mau!A:C,3,0)</f>
        <v>390</v>
      </c>
      <c r="G178" s="12">
        <f t="shared" si="10"/>
        <v>0.22758620689655173</v>
      </c>
      <c r="H178" s="12">
        <f t="shared" si="11"/>
        <v>8.461538461538462E-2</v>
      </c>
    </row>
    <row r="179" spans="1:8" x14ac:dyDescent="0.3">
      <c r="A179" s="4">
        <f t="shared" si="8"/>
        <v>12</v>
      </c>
      <c r="B179" s="4">
        <f t="shared" si="9"/>
        <v>52</v>
      </c>
      <c r="C179" s="14">
        <v>46017</v>
      </c>
      <c r="D179" s="4">
        <v>26</v>
      </c>
      <c r="E179" s="4">
        <f>VLOOKUP(B179, wau!A:C,3,0)</f>
        <v>145</v>
      </c>
      <c r="F179" s="4">
        <f>VLOOKUP(A179,mau!A:C,3,0)</f>
        <v>390</v>
      </c>
      <c r="G179" s="12">
        <f t="shared" si="10"/>
        <v>0.1793103448275862</v>
      </c>
      <c r="H179" s="12">
        <f t="shared" si="11"/>
        <v>6.6666666666666666E-2</v>
      </c>
    </row>
    <row r="180" spans="1:8" x14ac:dyDescent="0.3">
      <c r="A180" s="4">
        <f t="shared" si="8"/>
        <v>12</v>
      </c>
      <c r="B180" s="4">
        <f t="shared" si="9"/>
        <v>52</v>
      </c>
      <c r="C180" s="14">
        <v>46018</v>
      </c>
      <c r="D180" s="4">
        <v>24</v>
      </c>
      <c r="E180" s="4">
        <f>VLOOKUP(B180, wau!A:C,3,0)</f>
        <v>145</v>
      </c>
      <c r="F180" s="4">
        <f>VLOOKUP(A180,mau!A:C,3,0)</f>
        <v>390</v>
      </c>
      <c r="G180" s="12">
        <f t="shared" si="10"/>
        <v>0.16551724137931034</v>
      </c>
      <c r="H180" s="12">
        <f t="shared" si="11"/>
        <v>6.1538461538461542E-2</v>
      </c>
    </row>
    <row r="181" spans="1:8" x14ac:dyDescent="0.3">
      <c r="A181" s="4">
        <f t="shared" si="8"/>
        <v>12</v>
      </c>
      <c r="B181" s="4">
        <f t="shared" si="9"/>
        <v>52</v>
      </c>
      <c r="C181" s="14">
        <v>46019</v>
      </c>
      <c r="D181" s="4">
        <v>32</v>
      </c>
      <c r="E181" s="4">
        <f>VLOOKUP(B181, wau!A:C,3,0)</f>
        <v>145</v>
      </c>
      <c r="F181" s="4">
        <f>VLOOKUP(A181,mau!A:C,3,0)</f>
        <v>390</v>
      </c>
      <c r="G181" s="12">
        <f t="shared" si="10"/>
        <v>0.22068965517241379</v>
      </c>
      <c r="H181" s="12">
        <f t="shared" si="11"/>
        <v>8.2051282051282051E-2</v>
      </c>
    </row>
    <row r="182" spans="1:8" x14ac:dyDescent="0.3">
      <c r="A182" s="4">
        <f t="shared" si="8"/>
        <v>12</v>
      </c>
      <c r="B182" s="4">
        <f t="shared" si="9"/>
        <v>1</v>
      </c>
      <c r="C182" s="14">
        <v>46020</v>
      </c>
      <c r="D182" s="4">
        <v>29</v>
      </c>
      <c r="E182" s="4">
        <f>VLOOKUP(B182, wau!A:C,3,0)</f>
        <v>173</v>
      </c>
      <c r="F182" s="4">
        <f>VLOOKUP(A182,mau!A:C,3,0)</f>
        <v>390</v>
      </c>
      <c r="G182" s="12">
        <f t="shared" si="10"/>
        <v>0.16763005780346821</v>
      </c>
      <c r="H182" s="12">
        <f t="shared" si="11"/>
        <v>7.4358974358974358E-2</v>
      </c>
    </row>
    <row r="183" spans="1:8" x14ac:dyDescent="0.3">
      <c r="A183" s="4">
        <f t="shared" si="8"/>
        <v>12</v>
      </c>
      <c r="B183" s="4">
        <f t="shared" si="9"/>
        <v>1</v>
      </c>
      <c r="C183" s="14">
        <v>46021</v>
      </c>
      <c r="D183" s="4">
        <v>22</v>
      </c>
      <c r="E183" s="4">
        <f>VLOOKUP(B183, wau!A:C,3,0)</f>
        <v>173</v>
      </c>
      <c r="F183" s="4">
        <f>VLOOKUP(A183,mau!A:C,3,0)</f>
        <v>390</v>
      </c>
      <c r="G183" s="12">
        <f t="shared" si="10"/>
        <v>0.12716763005780346</v>
      </c>
      <c r="H183" s="12">
        <f t="shared" si="11"/>
        <v>5.6410256410256411E-2</v>
      </c>
    </row>
    <row r="184" spans="1:8" x14ac:dyDescent="0.3">
      <c r="A184" s="4">
        <f t="shared" si="8"/>
        <v>12</v>
      </c>
      <c r="B184" s="4">
        <f t="shared" si="9"/>
        <v>1</v>
      </c>
      <c r="C184" s="14">
        <v>46022</v>
      </c>
      <c r="D184" s="4">
        <v>37</v>
      </c>
      <c r="E184" s="4">
        <f>VLOOKUP(B184, wau!A:C,3,0)</f>
        <v>173</v>
      </c>
      <c r="F184" s="4">
        <f>VLOOKUP(A184,mau!A:C,3,0)</f>
        <v>390</v>
      </c>
      <c r="G184" s="12">
        <f t="shared" si="10"/>
        <v>0.2138728323699422</v>
      </c>
      <c r="H184" s="12">
        <f t="shared" si="11"/>
        <v>9.4871794871794868E-2</v>
      </c>
    </row>
    <row r="185" spans="1:8" x14ac:dyDescent="0.3">
      <c r="A185" s="4">
        <f t="shared" si="8"/>
        <v>1</v>
      </c>
      <c r="B185" s="4">
        <f t="shared" si="9"/>
        <v>1</v>
      </c>
      <c r="C185" s="14">
        <v>46023</v>
      </c>
      <c r="D185" s="4">
        <v>24</v>
      </c>
      <c r="E185" s="4">
        <f>VLOOKUP(B185, wau!A:C,3,0)</f>
        <v>173</v>
      </c>
      <c r="F185" s="4">
        <f>VLOOKUP(A185,mau!A:C,3,0)</f>
        <v>536</v>
      </c>
      <c r="G185" s="12">
        <f t="shared" si="10"/>
        <v>0.13872832369942195</v>
      </c>
      <c r="H185" s="12">
        <f t="shared" si="11"/>
        <v>4.4776119402985072E-2</v>
      </c>
    </row>
    <row r="186" spans="1:8" x14ac:dyDescent="0.3">
      <c r="A186" s="4">
        <f t="shared" si="8"/>
        <v>1</v>
      </c>
      <c r="B186" s="4">
        <f t="shared" si="9"/>
        <v>1</v>
      </c>
      <c r="C186" s="14">
        <v>46024</v>
      </c>
      <c r="D186" s="4">
        <v>35</v>
      </c>
      <c r="E186" s="4">
        <f>VLOOKUP(B186, wau!A:C,3,0)</f>
        <v>173</v>
      </c>
      <c r="F186" s="4">
        <f>VLOOKUP(A186,mau!A:C,3,0)</f>
        <v>536</v>
      </c>
      <c r="G186" s="12">
        <f t="shared" si="10"/>
        <v>0.20231213872832371</v>
      </c>
      <c r="H186" s="12">
        <f t="shared" si="11"/>
        <v>6.5298507462686561E-2</v>
      </c>
    </row>
    <row r="187" spans="1:8" x14ac:dyDescent="0.3">
      <c r="A187" s="4">
        <f t="shared" si="8"/>
        <v>1</v>
      </c>
      <c r="B187" s="4">
        <f t="shared" si="9"/>
        <v>1</v>
      </c>
      <c r="C187" s="14">
        <v>46025</v>
      </c>
      <c r="D187" s="4">
        <v>40</v>
      </c>
      <c r="E187" s="4">
        <f>VLOOKUP(B187, wau!A:C,3,0)</f>
        <v>173</v>
      </c>
      <c r="F187" s="4">
        <f>VLOOKUP(A187,mau!A:C,3,0)</f>
        <v>536</v>
      </c>
      <c r="G187" s="12">
        <f t="shared" si="10"/>
        <v>0.23121387283236994</v>
      </c>
      <c r="H187" s="12">
        <f t="shared" si="11"/>
        <v>7.4626865671641784E-2</v>
      </c>
    </row>
    <row r="188" spans="1:8" x14ac:dyDescent="0.3">
      <c r="A188" s="4">
        <f t="shared" si="8"/>
        <v>1</v>
      </c>
      <c r="B188" s="4">
        <f t="shared" si="9"/>
        <v>1</v>
      </c>
      <c r="C188" s="14">
        <v>46026</v>
      </c>
      <c r="D188" s="4">
        <v>46</v>
      </c>
      <c r="E188" s="4">
        <f>VLOOKUP(B188, wau!A:C,3,0)</f>
        <v>173</v>
      </c>
      <c r="F188" s="4">
        <f>VLOOKUP(A188,mau!A:C,3,0)</f>
        <v>536</v>
      </c>
      <c r="G188" s="12">
        <f t="shared" si="10"/>
        <v>0.26589595375722541</v>
      </c>
      <c r="H188" s="12">
        <f t="shared" si="11"/>
        <v>8.5820895522388058E-2</v>
      </c>
    </row>
    <row r="189" spans="1:8" x14ac:dyDescent="0.3">
      <c r="A189" s="4">
        <f t="shared" si="8"/>
        <v>1</v>
      </c>
      <c r="B189" s="4">
        <f t="shared" si="9"/>
        <v>2</v>
      </c>
      <c r="C189" s="14">
        <v>46027</v>
      </c>
      <c r="D189" s="4">
        <v>36</v>
      </c>
      <c r="E189" s="4">
        <f>VLOOKUP(B189, wau!A:C,3,0)</f>
        <v>208</v>
      </c>
      <c r="F189" s="4">
        <f>VLOOKUP(A189,mau!A:C,3,0)</f>
        <v>536</v>
      </c>
      <c r="G189" s="12">
        <f t="shared" si="10"/>
        <v>0.17307692307692307</v>
      </c>
      <c r="H189" s="12">
        <f t="shared" si="11"/>
        <v>6.7164179104477612E-2</v>
      </c>
    </row>
    <row r="190" spans="1:8" x14ac:dyDescent="0.3">
      <c r="A190" s="4">
        <f t="shared" si="8"/>
        <v>1</v>
      </c>
      <c r="B190" s="4">
        <f t="shared" si="9"/>
        <v>2</v>
      </c>
      <c r="C190" s="14">
        <v>46028</v>
      </c>
      <c r="D190" s="4">
        <v>46</v>
      </c>
      <c r="E190" s="4">
        <f>VLOOKUP(B190, wau!A:C,3,0)</f>
        <v>208</v>
      </c>
      <c r="F190" s="4">
        <f>VLOOKUP(A190,mau!A:C,3,0)</f>
        <v>536</v>
      </c>
      <c r="G190" s="12">
        <f t="shared" si="10"/>
        <v>0.22115384615384615</v>
      </c>
      <c r="H190" s="12">
        <f t="shared" si="11"/>
        <v>8.5820895522388058E-2</v>
      </c>
    </row>
    <row r="191" spans="1:8" x14ac:dyDescent="0.3">
      <c r="A191" s="4">
        <f t="shared" si="8"/>
        <v>1</v>
      </c>
      <c r="B191" s="4">
        <f t="shared" si="9"/>
        <v>2</v>
      </c>
      <c r="C191" s="14">
        <v>46029</v>
      </c>
      <c r="D191" s="4">
        <v>35</v>
      </c>
      <c r="E191" s="4">
        <f>VLOOKUP(B191, wau!A:C,3,0)</f>
        <v>208</v>
      </c>
      <c r="F191" s="4">
        <f>VLOOKUP(A191,mau!A:C,3,0)</f>
        <v>536</v>
      </c>
      <c r="G191" s="12">
        <f t="shared" si="10"/>
        <v>0.16826923076923078</v>
      </c>
      <c r="H191" s="12">
        <f t="shared" si="11"/>
        <v>6.5298507462686561E-2</v>
      </c>
    </row>
    <row r="192" spans="1:8" x14ac:dyDescent="0.3">
      <c r="A192" s="4">
        <f t="shared" si="8"/>
        <v>1</v>
      </c>
      <c r="B192" s="4">
        <f t="shared" si="9"/>
        <v>2</v>
      </c>
      <c r="C192" s="14">
        <v>46030</v>
      </c>
      <c r="D192" s="4">
        <v>53</v>
      </c>
      <c r="E192" s="4">
        <f>VLOOKUP(B192, wau!A:C,3,0)</f>
        <v>208</v>
      </c>
      <c r="F192" s="4">
        <f>VLOOKUP(A192,mau!A:C,3,0)</f>
        <v>536</v>
      </c>
      <c r="G192" s="12">
        <f t="shared" si="10"/>
        <v>0.25480769230769229</v>
      </c>
      <c r="H192" s="12">
        <f t="shared" si="11"/>
        <v>9.8880597014925367E-2</v>
      </c>
    </row>
    <row r="193" spans="1:8" x14ac:dyDescent="0.3">
      <c r="A193" s="4">
        <f t="shared" si="8"/>
        <v>1</v>
      </c>
      <c r="B193" s="4">
        <f t="shared" si="9"/>
        <v>2</v>
      </c>
      <c r="C193" s="14">
        <v>46031</v>
      </c>
      <c r="D193" s="4">
        <v>53</v>
      </c>
      <c r="E193" s="4">
        <f>VLOOKUP(B193, wau!A:C,3,0)</f>
        <v>208</v>
      </c>
      <c r="F193" s="4">
        <f>VLOOKUP(A193,mau!A:C,3,0)</f>
        <v>536</v>
      </c>
      <c r="G193" s="12">
        <f t="shared" si="10"/>
        <v>0.25480769230769229</v>
      </c>
      <c r="H193" s="12">
        <f t="shared" si="11"/>
        <v>9.8880597014925367E-2</v>
      </c>
    </row>
    <row r="194" spans="1:8" x14ac:dyDescent="0.3">
      <c r="A194" s="4">
        <f t="shared" si="8"/>
        <v>1</v>
      </c>
      <c r="B194" s="4">
        <f t="shared" si="9"/>
        <v>2</v>
      </c>
      <c r="C194" s="14">
        <v>46032</v>
      </c>
      <c r="D194" s="4">
        <v>52</v>
      </c>
      <c r="E194" s="4">
        <f>VLOOKUP(B194, wau!A:C,3,0)</f>
        <v>208</v>
      </c>
      <c r="F194" s="4">
        <f>VLOOKUP(A194,mau!A:C,3,0)</f>
        <v>536</v>
      </c>
      <c r="G194" s="12">
        <f t="shared" si="10"/>
        <v>0.25</v>
      </c>
      <c r="H194" s="12">
        <f t="shared" si="11"/>
        <v>9.7014925373134331E-2</v>
      </c>
    </row>
    <row r="195" spans="1:8" x14ac:dyDescent="0.3">
      <c r="A195" s="4">
        <f t="shared" ref="A195:A258" si="12">MONTH(C195)</f>
        <v>1</v>
      </c>
      <c r="B195" s="4">
        <f t="shared" ref="B195:B258" si="13">_xlfn.ISOWEEKNUM(C195)</f>
        <v>2</v>
      </c>
      <c r="C195" s="14">
        <v>46033</v>
      </c>
      <c r="D195" s="4">
        <v>65</v>
      </c>
      <c r="E195" s="4">
        <f>VLOOKUP(B195, wau!A:C,3,0)</f>
        <v>208</v>
      </c>
      <c r="F195" s="4">
        <f>VLOOKUP(A195,mau!A:C,3,0)</f>
        <v>536</v>
      </c>
      <c r="G195" s="12">
        <f t="shared" ref="G195:G258" si="14">D195/E195</f>
        <v>0.3125</v>
      </c>
      <c r="H195" s="12">
        <f t="shared" ref="H195:H258" si="15">D195/F195</f>
        <v>0.12126865671641791</v>
      </c>
    </row>
    <row r="196" spans="1:8" x14ac:dyDescent="0.3">
      <c r="A196" s="4">
        <f t="shared" si="12"/>
        <v>1</v>
      </c>
      <c r="B196" s="4">
        <f t="shared" si="13"/>
        <v>3</v>
      </c>
      <c r="C196" s="14">
        <v>46034</v>
      </c>
      <c r="D196" s="4">
        <v>52</v>
      </c>
      <c r="E196" s="4">
        <f>VLOOKUP(B196, wau!A:C,3,0)</f>
        <v>244</v>
      </c>
      <c r="F196" s="4">
        <f>VLOOKUP(A196,mau!A:C,3,0)</f>
        <v>536</v>
      </c>
      <c r="G196" s="12">
        <f t="shared" si="14"/>
        <v>0.21311475409836064</v>
      </c>
      <c r="H196" s="12">
        <f t="shared" si="15"/>
        <v>9.7014925373134331E-2</v>
      </c>
    </row>
    <row r="197" spans="1:8" x14ac:dyDescent="0.3">
      <c r="A197" s="4">
        <f t="shared" si="12"/>
        <v>1</v>
      </c>
      <c r="B197" s="4">
        <f t="shared" si="13"/>
        <v>3</v>
      </c>
      <c r="C197" s="14">
        <v>46035</v>
      </c>
      <c r="D197" s="4">
        <v>62</v>
      </c>
      <c r="E197" s="4">
        <f>VLOOKUP(B197, wau!A:C,3,0)</f>
        <v>244</v>
      </c>
      <c r="F197" s="4">
        <f>VLOOKUP(A197,mau!A:C,3,0)</f>
        <v>536</v>
      </c>
      <c r="G197" s="12">
        <f t="shared" si="14"/>
        <v>0.25409836065573771</v>
      </c>
      <c r="H197" s="12">
        <f t="shared" si="15"/>
        <v>0.11567164179104478</v>
      </c>
    </row>
    <row r="198" spans="1:8" x14ac:dyDescent="0.3">
      <c r="A198" s="4">
        <f t="shared" si="12"/>
        <v>1</v>
      </c>
      <c r="B198" s="4">
        <f t="shared" si="13"/>
        <v>3</v>
      </c>
      <c r="C198" s="14">
        <v>46036</v>
      </c>
      <c r="D198" s="4">
        <v>77</v>
      </c>
      <c r="E198" s="4">
        <f>VLOOKUP(B198, wau!A:C,3,0)</f>
        <v>244</v>
      </c>
      <c r="F198" s="4">
        <f>VLOOKUP(A198,mau!A:C,3,0)</f>
        <v>536</v>
      </c>
      <c r="G198" s="12">
        <f t="shared" si="14"/>
        <v>0.3155737704918033</v>
      </c>
      <c r="H198" s="12">
        <f t="shared" si="15"/>
        <v>0.14365671641791045</v>
      </c>
    </row>
    <row r="199" spans="1:8" x14ac:dyDescent="0.3">
      <c r="A199" s="4">
        <f t="shared" si="12"/>
        <v>1</v>
      </c>
      <c r="B199" s="4">
        <f t="shared" si="13"/>
        <v>3</v>
      </c>
      <c r="C199" s="14">
        <v>46037</v>
      </c>
      <c r="D199" s="4">
        <v>61</v>
      </c>
      <c r="E199" s="4">
        <f>VLOOKUP(B199, wau!A:C,3,0)</f>
        <v>244</v>
      </c>
      <c r="F199" s="4">
        <f>VLOOKUP(A199,mau!A:C,3,0)</f>
        <v>536</v>
      </c>
      <c r="G199" s="12">
        <f t="shared" si="14"/>
        <v>0.25</v>
      </c>
      <c r="H199" s="12">
        <f t="shared" si="15"/>
        <v>0.11380597014925373</v>
      </c>
    </row>
    <row r="200" spans="1:8" x14ac:dyDescent="0.3">
      <c r="A200" s="4">
        <f t="shared" si="12"/>
        <v>1</v>
      </c>
      <c r="B200" s="4">
        <f t="shared" si="13"/>
        <v>3</v>
      </c>
      <c r="C200" s="14">
        <v>46038</v>
      </c>
      <c r="D200" s="4">
        <v>70</v>
      </c>
      <c r="E200" s="4">
        <f>VLOOKUP(B200, wau!A:C,3,0)</f>
        <v>244</v>
      </c>
      <c r="F200" s="4">
        <f>VLOOKUP(A200,mau!A:C,3,0)</f>
        <v>536</v>
      </c>
      <c r="G200" s="12">
        <f t="shared" si="14"/>
        <v>0.28688524590163933</v>
      </c>
      <c r="H200" s="12">
        <f t="shared" si="15"/>
        <v>0.13059701492537312</v>
      </c>
    </row>
    <row r="201" spans="1:8" x14ac:dyDescent="0.3">
      <c r="A201" s="4">
        <f t="shared" si="12"/>
        <v>1</v>
      </c>
      <c r="B201" s="4">
        <f t="shared" si="13"/>
        <v>3</v>
      </c>
      <c r="C201" s="14">
        <v>46039</v>
      </c>
      <c r="D201" s="4">
        <v>66</v>
      </c>
      <c r="E201" s="4">
        <f>VLOOKUP(B201, wau!A:C,3,0)</f>
        <v>244</v>
      </c>
      <c r="F201" s="4">
        <f>VLOOKUP(A201,mau!A:C,3,0)</f>
        <v>536</v>
      </c>
      <c r="G201" s="12">
        <f t="shared" si="14"/>
        <v>0.27049180327868855</v>
      </c>
      <c r="H201" s="12">
        <f t="shared" si="15"/>
        <v>0.12313432835820895</v>
      </c>
    </row>
    <row r="202" spans="1:8" x14ac:dyDescent="0.3">
      <c r="A202" s="4">
        <f t="shared" si="12"/>
        <v>1</v>
      </c>
      <c r="B202" s="4">
        <f t="shared" si="13"/>
        <v>3</v>
      </c>
      <c r="C202" s="14">
        <v>46040</v>
      </c>
      <c r="D202" s="4">
        <v>73</v>
      </c>
      <c r="E202" s="4">
        <f>VLOOKUP(B202, wau!A:C,3,0)</f>
        <v>244</v>
      </c>
      <c r="F202" s="4">
        <f>VLOOKUP(A202,mau!A:C,3,0)</f>
        <v>536</v>
      </c>
      <c r="G202" s="12">
        <f t="shared" si="14"/>
        <v>0.29918032786885246</v>
      </c>
      <c r="H202" s="12">
        <f t="shared" si="15"/>
        <v>0.13619402985074627</v>
      </c>
    </row>
    <row r="203" spans="1:8" x14ac:dyDescent="0.3">
      <c r="A203" s="4">
        <f t="shared" si="12"/>
        <v>1</v>
      </c>
      <c r="B203" s="4">
        <f t="shared" si="13"/>
        <v>4</v>
      </c>
      <c r="C203" s="14">
        <v>46041</v>
      </c>
      <c r="D203" s="4">
        <v>73</v>
      </c>
      <c r="E203" s="4">
        <f>VLOOKUP(B203, wau!A:C,3,0)</f>
        <v>285</v>
      </c>
      <c r="F203" s="4">
        <f>VLOOKUP(A203,mau!A:C,3,0)</f>
        <v>536</v>
      </c>
      <c r="G203" s="12">
        <f t="shared" si="14"/>
        <v>0.256140350877193</v>
      </c>
      <c r="H203" s="12">
        <f t="shared" si="15"/>
        <v>0.13619402985074627</v>
      </c>
    </row>
    <row r="204" spans="1:8" x14ac:dyDescent="0.3">
      <c r="A204" s="4">
        <f t="shared" si="12"/>
        <v>1</v>
      </c>
      <c r="B204" s="4">
        <f t="shared" si="13"/>
        <v>4</v>
      </c>
      <c r="C204" s="14">
        <v>46042</v>
      </c>
      <c r="D204" s="4">
        <v>80</v>
      </c>
      <c r="E204" s="4">
        <f>VLOOKUP(B204, wau!A:C,3,0)</f>
        <v>285</v>
      </c>
      <c r="F204" s="4">
        <f>VLOOKUP(A204,mau!A:C,3,0)</f>
        <v>536</v>
      </c>
      <c r="G204" s="12">
        <f t="shared" si="14"/>
        <v>0.2807017543859649</v>
      </c>
      <c r="H204" s="12">
        <f t="shared" si="15"/>
        <v>0.14925373134328357</v>
      </c>
    </row>
    <row r="205" spans="1:8" x14ac:dyDescent="0.3">
      <c r="A205" s="4">
        <f t="shared" si="12"/>
        <v>1</v>
      </c>
      <c r="B205" s="4">
        <f t="shared" si="13"/>
        <v>4</v>
      </c>
      <c r="C205" s="14">
        <v>46043</v>
      </c>
      <c r="D205" s="4">
        <v>75</v>
      </c>
      <c r="E205" s="4">
        <f>VLOOKUP(B205, wau!A:C,3,0)</f>
        <v>285</v>
      </c>
      <c r="F205" s="4">
        <f>VLOOKUP(A205,mau!A:C,3,0)</f>
        <v>536</v>
      </c>
      <c r="G205" s="12">
        <f t="shared" si="14"/>
        <v>0.26315789473684209</v>
      </c>
      <c r="H205" s="12">
        <f t="shared" si="15"/>
        <v>0.13992537313432835</v>
      </c>
    </row>
    <row r="206" spans="1:8" x14ac:dyDescent="0.3">
      <c r="A206" s="4">
        <f t="shared" si="12"/>
        <v>1</v>
      </c>
      <c r="B206" s="4">
        <f t="shared" si="13"/>
        <v>4</v>
      </c>
      <c r="C206" s="14">
        <v>46044</v>
      </c>
      <c r="D206" s="4">
        <v>90</v>
      </c>
      <c r="E206" s="4">
        <f>VLOOKUP(B206, wau!A:C,3,0)</f>
        <v>285</v>
      </c>
      <c r="F206" s="4">
        <f>VLOOKUP(A206,mau!A:C,3,0)</f>
        <v>536</v>
      </c>
      <c r="G206" s="12">
        <f t="shared" si="14"/>
        <v>0.31578947368421051</v>
      </c>
      <c r="H206" s="12">
        <f t="shared" si="15"/>
        <v>0.16791044776119404</v>
      </c>
    </row>
    <row r="207" spans="1:8" x14ac:dyDescent="0.3">
      <c r="A207" s="4">
        <f t="shared" si="12"/>
        <v>1</v>
      </c>
      <c r="B207" s="4">
        <f t="shared" si="13"/>
        <v>4</v>
      </c>
      <c r="C207" s="14">
        <v>46045</v>
      </c>
      <c r="D207" s="4">
        <v>78</v>
      </c>
      <c r="E207" s="4">
        <f>VLOOKUP(B207, wau!A:C,3,0)</f>
        <v>285</v>
      </c>
      <c r="F207" s="4">
        <f>VLOOKUP(A207,mau!A:C,3,0)</f>
        <v>536</v>
      </c>
      <c r="G207" s="12">
        <f t="shared" si="14"/>
        <v>0.27368421052631581</v>
      </c>
      <c r="H207" s="12">
        <f t="shared" si="15"/>
        <v>0.1455223880597015</v>
      </c>
    </row>
    <row r="208" spans="1:8" x14ac:dyDescent="0.3">
      <c r="A208" s="4">
        <f t="shared" si="12"/>
        <v>1</v>
      </c>
      <c r="B208" s="4">
        <f t="shared" si="13"/>
        <v>4</v>
      </c>
      <c r="C208" s="14">
        <v>46046</v>
      </c>
      <c r="D208" s="4">
        <v>90</v>
      </c>
      <c r="E208" s="4">
        <f>VLOOKUP(B208, wau!A:C,3,0)</f>
        <v>285</v>
      </c>
      <c r="F208" s="4">
        <f>VLOOKUP(A208,mau!A:C,3,0)</f>
        <v>536</v>
      </c>
      <c r="G208" s="12">
        <f t="shared" si="14"/>
        <v>0.31578947368421051</v>
      </c>
      <c r="H208" s="12">
        <f t="shared" si="15"/>
        <v>0.16791044776119404</v>
      </c>
    </row>
    <row r="209" spans="1:8" x14ac:dyDescent="0.3">
      <c r="A209" s="4">
        <f t="shared" si="12"/>
        <v>1</v>
      </c>
      <c r="B209" s="4">
        <f t="shared" si="13"/>
        <v>4</v>
      </c>
      <c r="C209" s="14">
        <v>46047</v>
      </c>
      <c r="D209" s="4">
        <v>88</v>
      </c>
      <c r="E209" s="4">
        <f>VLOOKUP(B209, wau!A:C,3,0)</f>
        <v>285</v>
      </c>
      <c r="F209" s="4">
        <f>VLOOKUP(A209,mau!A:C,3,0)</f>
        <v>536</v>
      </c>
      <c r="G209" s="12">
        <f t="shared" si="14"/>
        <v>0.30877192982456142</v>
      </c>
      <c r="H209" s="12">
        <f t="shared" si="15"/>
        <v>0.16417910447761194</v>
      </c>
    </row>
    <row r="210" spans="1:8" x14ac:dyDescent="0.3">
      <c r="A210" s="4">
        <f t="shared" si="12"/>
        <v>1</v>
      </c>
      <c r="B210" s="4">
        <f t="shared" si="13"/>
        <v>5</v>
      </c>
      <c r="C210" s="14">
        <v>46048</v>
      </c>
      <c r="D210" s="4">
        <v>83</v>
      </c>
      <c r="E210" s="4">
        <f>VLOOKUP(B210, wau!A:C,3,0)</f>
        <v>331</v>
      </c>
      <c r="F210" s="4">
        <f>VLOOKUP(A210,mau!A:C,3,0)</f>
        <v>536</v>
      </c>
      <c r="G210" s="12">
        <f t="shared" si="14"/>
        <v>0.25075528700906347</v>
      </c>
      <c r="H210" s="12">
        <f t="shared" si="15"/>
        <v>0.15485074626865672</v>
      </c>
    </row>
    <row r="211" spans="1:8" x14ac:dyDescent="0.3">
      <c r="A211" s="4">
        <f t="shared" si="12"/>
        <v>1</v>
      </c>
      <c r="B211" s="4">
        <f t="shared" si="13"/>
        <v>5</v>
      </c>
      <c r="C211" s="14">
        <v>46049</v>
      </c>
      <c r="D211" s="4">
        <v>92</v>
      </c>
      <c r="E211" s="4">
        <f>VLOOKUP(B211, wau!A:C,3,0)</f>
        <v>331</v>
      </c>
      <c r="F211" s="4">
        <f>VLOOKUP(A211,mau!A:C,3,0)</f>
        <v>536</v>
      </c>
      <c r="G211" s="12">
        <f t="shared" si="14"/>
        <v>0.27794561933534745</v>
      </c>
      <c r="H211" s="12">
        <f t="shared" si="15"/>
        <v>0.17164179104477612</v>
      </c>
    </row>
    <row r="212" spans="1:8" x14ac:dyDescent="0.3">
      <c r="A212" s="4">
        <f t="shared" si="12"/>
        <v>1</v>
      </c>
      <c r="B212" s="4">
        <f t="shared" si="13"/>
        <v>5</v>
      </c>
      <c r="C212" s="14">
        <v>46050</v>
      </c>
      <c r="D212" s="4">
        <v>99</v>
      </c>
      <c r="E212" s="4">
        <f>VLOOKUP(B212, wau!A:C,3,0)</f>
        <v>331</v>
      </c>
      <c r="F212" s="4">
        <f>VLOOKUP(A212,mau!A:C,3,0)</f>
        <v>536</v>
      </c>
      <c r="G212" s="12">
        <f t="shared" si="14"/>
        <v>0.29909365558912387</v>
      </c>
      <c r="H212" s="12">
        <f t="shared" si="15"/>
        <v>0.18470149253731344</v>
      </c>
    </row>
    <row r="213" spans="1:8" x14ac:dyDescent="0.3">
      <c r="A213" s="4">
        <f t="shared" si="12"/>
        <v>1</v>
      </c>
      <c r="B213" s="4">
        <f t="shared" si="13"/>
        <v>5</v>
      </c>
      <c r="C213" s="14">
        <v>46051</v>
      </c>
      <c r="D213" s="4">
        <v>93</v>
      </c>
      <c r="E213" s="4">
        <f>VLOOKUP(B213, wau!A:C,3,0)</f>
        <v>331</v>
      </c>
      <c r="F213" s="4">
        <f>VLOOKUP(A213,mau!A:C,3,0)</f>
        <v>536</v>
      </c>
      <c r="G213" s="12">
        <f t="shared" si="14"/>
        <v>0.2809667673716012</v>
      </c>
      <c r="H213" s="12">
        <f t="shared" si="15"/>
        <v>0.17350746268656717</v>
      </c>
    </row>
    <row r="214" spans="1:8" x14ac:dyDescent="0.3">
      <c r="A214" s="4">
        <f t="shared" si="12"/>
        <v>1</v>
      </c>
      <c r="B214" s="4">
        <f t="shared" si="13"/>
        <v>5</v>
      </c>
      <c r="C214" s="14">
        <v>46052</v>
      </c>
      <c r="D214" s="4">
        <v>115</v>
      </c>
      <c r="E214" s="4">
        <f>VLOOKUP(B214, wau!A:C,3,0)</f>
        <v>331</v>
      </c>
      <c r="F214" s="4">
        <f>VLOOKUP(A214,mau!A:C,3,0)</f>
        <v>536</v>
      </c>
      <c r="G214" s="12">
        <f t="shared" si="14"/>
        <v>0.34743202416918428</v>
      </c>
      <c r="H214" s="12">
        <f t="shared" si="15"/>
        <v>0.21455223880597016</v>
      </c>
    </row>
    <row r="215" spans="1:8" x14ac:dyDescent="0.3">
      <c r="A215" s="4">
        <f t="shared" si="12"/>
        <v>1</v>
      </c>
      <c r="B215" s="4">
        <f t="shared" si="13"/>
        <v>5</v>
      </c>
      <c r="C215" s="14">
        <v>46053</v>
      </c>
      <c r="D215" s="4">
        <v>108</v>
      </c>
      <c r="E215" s="4">
        <f>VLOOKUP(B215, wau!A:C,3,0)</f>
        <v>331</v>
      </c>
      <c r="F215" s="4">
        <f>VLOOKUP(A215,mau!A:C,3,0)</f>
        <v>536</v>
      </c>
      <c r="G215" s="12">
        <f t="shared" si="14"/>
        <v>0.32628398791540786</v>
      </c>
      <c r="H215" s="12">
        <f t="shared" si="15"/>
        <v>0.20149253731343283</v>
      </c>
    </row>
    <row r="216" spans="1:8" x14ac:dyDescent="0.3">
      <c r="A216" s="4">
        <f t="shared" si="12"/>
        <v>2</v>
      </c>
      <c r="B216" s="4">
        <f t="shared" si="13"/>
        <v>5</v>
      </c>
      <c r="C216" s="14">
        <v>46054</v>
      </c>
      <c r="D216" s="4">
        <v>112</v>
      </c>
      <c r="E216" s="4">
        <f>VLOOKUP(B216, wau!A:C,3,0)</f>
        <v>331</v>
      </c>
      <c r="F216" s="4">
        <f>VLOOKUP(A216,mau!A:C,3,0)</f>
        <v>696</v>
      </c>
      <c r="G216" s="12">
        <f t="shared" si="14"/>
        <v>0.33836858006042297</v>
      </c>
      <c r="H216" s="12">
        <f t="shared" si="15"/>
        <v>0.16091954022988506</v>
      </c>
    </row>
    <row r="217" spans="1:8" x14ac:dyDescent="0.3">
      <c r="A217" s="4">
        <f t="shared" si="12"/>
        <v>2</v>
      </c>
      <c r="B217" s="4">
        <f t="shared" si="13"/>
        <v>6</v>
      </c>
      <c r="C217" s="14">
        <v>46055</v>
      </c>
      <c r="D217" s="4">
        <v>86</v>
      </c>
      <c r="E217" s="4">
        <f>VLOOKUP(B217, wau!A:C,3,0)</f>
        <v>337</v>
      </c>
      <c r="F217" s="4">
        <f>VLOOKUP(A217,mau!A:C,3,0)</f>
        <v>696</v>
      </c>
      <c r="G217" s="12">
        <f t="shared" si="14"/>
        <v>0.25519287833827892</v>
      </c>
      <c r="H217" s="12">
        <f t="shared" si="15"/>
        <v>0.1235632183908046</v>
      </c>
    </row>
    <row r="218" spans="1:8" x14ac:dyDescent="0.3">
      <c r="A218" s="4">
        <f t="shared" si="12"/>
        <v>2</v>
      </c>
      <c r="B218" s="4">
        <f t="shared" si="13"/>
        <v>6</v>
      </c>
      <c r="C218" s="14">
        <v>46056</v>
      </c>
      <c r="D218" s="4">
        <v>98</v>
      </c>
      <c r="E218" s="4">
        <f>VLOOKUP(B218, wau!A:C,3,0)</f>
        <v>337</v>
      </c>
      <c r="F218" s="4">
        <f>VLOOKUP(A218,mau!A:C,3,0)</f>
        <v>696</v>
      </c>
      <c r="G218" s="12">
        <f t="shared" si="14"/>
        <v>0.29080118694362017</v>
      </c>
      <c r="H218" s="12">
        <f t="shared" si="15"/>
        <v>0.14080459770114942</v>
      </c>
    </row>
    <row r="219" spans="1:8" x14ac:dyDescent="0.3">
      <c r="A219" s="4">
        <f t="shared" si="12"/>
        <v>2</v>
      </c>
      <c r="B219" s="4">
        <f t="shared" si="13"/>
        <v>6</v>
      </c>
      <c r="C219" s="14">
        <v>46057</v>
      </c>
      <c r="D219" s="4">
        <v>100</v>
      </c>
      <c r="E219" s="4">
        <f>VLOOKUP(B219, wau!A:C,3,0)</f>
        <v>337</v>
      </c>
      <c r="F219" s="4">
        <f>VLOOKUP(A219,mau!A:C,3,0)</f>
        <v>696</v>
      </c>
      <c r="G219" s="12">
        <f t="shared" si="14"/>
        <v>0.29673590504451036</v>
      </c>
      <c r="H219" s="12">
        <f t="shared" si="15"/>
        <v>0.14367816091954022</v>
      </c>
    </row>
    <row r="220" spans="1:8" x14ac:dyDescent="0.3">
      <c r="A220" s="4">
        <f t="shared" si="12"/>
        <v>2</v>
      </c>
      <c r="B220" s="4">
        <f t="shared" si="13"/>
        <v>6</v>
      </c>
      <c r="C220" s="14">
        <v>46058</v>
      </c>
      <c r="D220" s="4">
        <v>95</v>
      </c>
      <c r="E220" s="4">
        <f>VLOOKUP(B220, wau!A:C,3,0)</f>
        <v>337</v>
      </c>
      <c r="F220" s="4">
        <f>VLOOKUP(A220,mau!A:C,3,0)</f>
        <v>696</v>
      </c>
      <c r="G220" s="12">
        <f t="shared" si="14"/>
        <v>0.28189910979228489</v>
      </c>
      <c r="H220" s="12">
        <f t="shared" si="15"/>
        <v>0.13649425287356323</v>
      </c>
    </row>
    <row r="221" spans="1:8" x14ac:dyDescent="0.3">
      <c r="A221" s="4">
        <f t="shared" si="12"/>
        <v>2</v>
      </c>
      <c r="B221" s="4">
        <f t="shared" si="13"/>
        <v>6</v>
      </c>
      <c r="C221" s="14">
        <v>46059</v>
      </c>
      <c r="D221" s="4">
        <v>98</v>
      </c>
      <c r="E221" s="4">
        <f>VLOOKUP(B221, wau!A:C,3,0)</f>
        <v>337</v>
      </c>
      <c r="F221" s="4">
        <f>VLOOKUP(A221,mau!A:C,3,0)</f>
        <v>696</v>
      </c>
      <c r="G221" s="12">
        <f t="shared" si="14"/>
        <v>0.29080118694362017</v>
      </c>
      <c r="H221" s="12">
        <f t="shared" si="15"/>
        <v>0.14080459770114942</v>
      </c>
    </row>
    <row r="222" spans="1:8" x14ac:dyDescent="0.3">
      <c r="A222" s="4">
        <f t="shared" si="12"/>
        <v>2</v>
      </c>
      <c r="B222" s="4">
        <f t="shared" si="13"/>
        <v>6</v>
      </c>
      <c r="C222" s="14">
        <v>46060</v>
      </c>
      <c r="D222" s="4">
        <v>90</v>
      </c>
      <c r="E222" s="4">
        <f>VLOOKUP(B222, wau!A:C,3,0)</f>
        <v>337</v>
      </c>
      <c r="F222" s="4">
        <f>VLOOKUP(A222,mau!A:C,3,0)</f>
        <v>696</v>
      </c>
      <c r="G222" s="12">
        <f t="shared" si="14"/>
        <v>0.26706231454005935</v>
      </c>
      <c r="H222" s="12">
        <f t="shared" si="15"/>
        <v>0.12931034482758622</v>
      </c>
    </row>
    <row r="223" spans="1:8" x14ac:dyDescent="0.3">
      <c r="A223" s="4">
        <f t="shared" si="12"/>
        <v>2</v>
      </c>
      <c r="B223" s="4">
        <f t="shared" si="13"/>
        <v>6</v>
      </c>
      <c r="C223" s="14">
        <v>46061</v>
      </c>
      <c r="D223" s="4">
        <v>107</v>
      </c>
      <c r="E223" s="4">
        <f>VLOOKUP(B223, wau!A:C,3,0)</f>
        <v>337</v>
      </c>
      <c r="F223" s="4">
        <f>VLOOKUP(A223,mau!A:C,3,0)</f>
        <v>696</v>
      </c>
      <c r="G223" s="12">
        <f t="shared" si="14"/>
        <v>0.31750741839762614</v>
      </c>
      <c r="H223" s="12">
        <f t="shared" si="15"/>
        <v>0.15373563218390804</v>
      </c>
    </row>
    <row r="224" spans="1:8" x14ac:dyDescent="0.3">
      <c r="A224" s="4">
        <f t="shared" si="12"/>
        <v>2</v>
      </c>
      <c r="B224" s="4">
        <f t="shared" si="13"/>
        <v>7</v>
      </c>
      <c r="C224" s="14">
        <v>46062</v>
      </c>
      <c r="D224" s="4">
        <v>101</v>
      </c>
      <c r="E224" s="4">
        <f>VLOOKUP(B224, wau!A:C,3,0)</f>
        <v>334</v>
      </c>
      <c r="F224" s="4">
        <f>VLOOKUP(A224,mau!A:C,3,0)</f>
        <v>696</v>
      </c>
      <c r="G224" s="12">
        <f t="shared" si="14"/>
        <v>0.30239520958083832</v>
      </c>
      <c r="H224" s="12">
        <f t="shared" si="15"/>
        <v>0.14511494252873564</v>
      </c>
    </row>
    <row r="225" spans="1:8" x14ac:dyDescent="0.3">
      <c r="A225" s="4">
        <f t="shared" si="12"/>
        <v>2</v>
      </c>
      <c r="B225" s="4">
        <f t="shared" si="13"/>
        <v>7</v>
      </c>
      <c r="C225" s="14">
        <v>46063</v>
      </c>
      <c r="D225" s="4">
        <v>104</v>
      </c>
      <c r="E225" s="4">
        <f>VLOOKUP(B225, wau!A:C,3,0)</f>
        <v>334</v>
      </c>
      <c r="F225" s="4">
        <f>VLOOKUP(A225,mau!A:C,3,0)</f>
        <v>696</v>
      </c>
      <c r="G225" s="12">
        <f t="shared" si="14"/>
        <v>0.31137724550898205</v>
      </c>
      <c r="H225" s="12">
        <f t="shared" si="15"/>
        <v>0.14942528735632185</v>
      </c>
    </row>
    <row r="226" spans="1:8" x14ac:dyDescent="0.3">
      <c r="A226" s="4">
        <f t="shared" si="12"/>
        <v>2</v>
      </c>
      <c r="B226" s="4">
        <f t="shared" si="13"/>
        <v>7</v>
      </c>
      <c r="C226" s="14">
        <v>46064</v>
      </c>
      <c r="D226" s="4">
        <v>98</v>
      </c>
      <c r="E226" s="4">
        <f>VLOOKUP(B226, wau!A:C,3,0)</f>
        <v>334</v>
      </c>
      <c r="F226" s="4">
        <f>VLOOKUP(A226,mau!A:C,3,0)</f>
        <v>696</v>
      </c>
      <c r="G226" s="12">
        <f t="shared" si="14"/>
        <v>0.29341317365269459</v>
      </c>
      <c r="H226" s="12">
        <f t="shared" si="15"/>
        <v>0.14080459770114942</v>
      </c>
    </row>
    <row r="227" spans="1:8" x14ac:dyDescent="0.3">
      <c r="A227" s="4">
        <f t="shared" si="12"/>
        <v>2</v>
      </c>
      <c r="B227" s="4">
        <f t="shared" si="13"/>
        <v>7</v>
      </c>
      <c r="C227" s="14">
        <v>46065</v>
      </c>
      <c r="D227" s="4">
        <v>101</v>
      </c>
      <c r="E227" s="4">
        <f>VLOOKUP(B227, wau!A:C,3,0)</f>
        <v>334</v>
      </c>
      <c r="F227" s="4">
        <f>VLOOKUP(A227,mau!A:C,3,0)</f>
        <v>696</v>
      </c>
      <c r="G227" s="12">
        <f t="shared" si="14"/>
        <v>0.30239520958083832</v>
      </c>
      <c r="H227" s="12">
        <f t="shared" si="15"/>
        <v>0.14511494252873564</v>
      </c>
    </row>
    <row r="228" spans="1:8" x14ac:dyDescent="0.3">
      <c r="A228" s="4">
        <f t="shared" si="12"/>
        <v>2</v>
      </c>
      <c r="B228" s="4">
        <f t="shared" si="13"/>
        <v>7</v>
      </c>
      <c r="C228" s="14">
        <v>46066</v>
      </c>
      <c r="D228" s="4">
        <v>94</v>
      </c>
      <c r="E228" s="4">
        <f>VLOOKUP(B228, wau!A:C,3,0)</f>
        <v>334</v>
      </c>
      <c r="F228" s="4">
        <f>VLOOKUP(A228,mau!A:C,3,0)</f>
        <v>696</v>
      </c>
      <c r="G228" s="12">
        <f t="shared" si="14"/>
        <v>0.28143712574850299</v>
      </c>
      <c r="H228" s="12">
        <f t="shared" si="15"/>
        <v>0.13505747126436782</v>
      </c>
    </row>
    <row r="229" spans="1:8" x14ac:dyDescent="0.3">
      <c r="A229" s="4">
        <f t="shared" si="12"/>
        <v>2</v>
      </c>
      <c r="B229" s="4">
        <f t="shared" si="13"/>
        <v>7</v>
      </c>
      <c r="C229" s="14">
        <v>46067</v>
      </c>
      <c r="D229" s="4">
        <v>108</v>
      </c>
      <c r="E229" s="4">
        <f>VLOOKUP(B229, wau!A:C,3,0)</f>
        <v>334</v>
      </c>
      <c r="F229" s="4">
        <f>VLOOKUP(A229,mau!A:C,3,0)</f>
        <v>696</v>
      </c>
      <c r="G229" s="12">
        <f t="shared" si="14"/>
        <v>0.32335329341317365</v>
      </c>
      <c r="H229" s="12">
        <f t="shared" si="15"/>
        <v>0.15517241379310345</v>
      </c>
    </row>
    <row r="230" spans="1:8" x14ac:dyDescent="0.3">
      <c r="A230" s="4">
        <f t="shared" si="12"/>
        <v>2</v>
      </c>
      <c r="B230" s="4">
        <f t="shared" si="13"/>
        <v>7</v>
      </c>
      <c r="C230" s="14">
        <v>46068</v>
      </c>
      <c r="D230" s="4">
        <v>103</v>
      </c>
      <c r="E230" s="4">
        <f>VLOOKUP(B230, wau!A:C,3,0)</f>
        <v>334</v>
      </c>
      <c r="F230" s="4">
        <f>VLOOKUP(A230,mau!A:C,3,0)</f>
        <v>696</v>
      </c>
      <c r="G230" s="12">
        <f t="shared" si="14"/>
        <v>0.30838323353293412</v>
      </c>
      <c r="H230" s="12">
        <f t="shared" si="15"/>
        <v>0.14798850574712644</v>
      </c>
    </row>
    <row r="231" spans="1:8" x14ac:dyDescent="0.3">
      <c r="A231" s="4">
        <f t="shared" si="12"/>
        <v>2</v>
      </c>
      <c r="B231" s="4">
        <f t="shared" si="13"/>
        <v>8</v>
      </c>
      <c r="C231" s="14">
        <v>46069</v>
      </c>
      <c r="D231" s="4">
        <v>95</v>
      </c>
      <c r="E231" s="4">
        <f>VLOOKUP(B231, wau!A:C,3,0)</f>
        <v>362</v>
      </c>
      <c r="F231" s="4">
        <f>VLOOKUP(A231,mau!A:C,3,0)</f>
        <v>696</v>
      </c>
      <c r="G231" s="12">
        <f t="shared" si="14"/>
        <v>0.26243093922651933</v>
      </c>
      <c r="H231" s="12">
        <f t="shared" si="15"/>
        <v>0.13649425287356323</v>
      </c>
    </row>
    <row r="232" spans="1:8" x14ac:dyDescent="0.3">
      <c r="A232" s="4">
        <f t="shared" si="12"/>
        <v>2</v>
      </c>
      <c r="B232" s="4">
        <f t="shared" si="13"/>
        <v>8</v>
      </c>
      <c r="C232" s="14">
        <v>46070</v>
      </c>
      <c r="D232" s="4">
        <v>107</v>
      </c>
      <c r="E232" s="4">
        <f>VLOOKUP(B232, wau!A:C,3,0)</f>
        <v>362</v>
      </c>
      <c r="F232" s="4">
        <f>VLOOKUP(A232,mau!A:C,3,0)</f>
        <v>696</v>
      </c>
      <c r="G232" s="12">
        <f t="shared" si="14"/>
        <v>0.29558011049723759</v>
      </c>
      <c r="H232" s="12">
        <f t="shared" si="15"/>
        <v>0.15373563218390804</v>
      </c>
    </row>
    <row r="233" spans="1:8" x14ac:dyDescent="0.3">
      <c r="A233" s="4">
        <f t="shared" si="12"/>
        <v>2</v>
      </c>
      <c r="B233" s="4">
        <f t="shared" si="13"/>
        <v>8</v>
      </c>
      <c r="C233" s="14">
        <v>46071</v>
      </c>
      <c r="D233" s="4">
        <v>116</v>
      </c>
      <c r="E233" s="4">
        <f>VLOOKUP(B233, wau!A:C,3,0)</f>
        <v>362</v>
      </c>
      <c r="F233" s="4">
        <f>VLOOKUP(A233,mau!A:C,3,0)</f>
        <v>696</v>
      </c>
      <c r="G233" s="12">
        <f t="shared" si="14"/>
        <v>0.32044198895027626</v>
      </c>
      <c r="H233" s="12">
        <f t="shared" si="15"/>
        <v>0.16666666666666666</v>
      </c>
    </row>
    <row r="234" spans="1:8" x14ac:dyDescent="0.3">
      <c r="A234" s="4">
        <f t="shared" si="12"/>
        <v>2</v>
      </c>
      <c r="B234" s="4">
        <f t="shared" si="13"/>
        <v>8</v>
      </c>
      <c r="C234" s="14">
        <v>46072</v>
      </c>
      <c r="D234" s="4">
        <v>109</v>
      </c>
      <c r="E234" s="4">
        <f>VLOOKUP(B234, wau!A:C,3,0)</f>
        <v>362</v>
      </c>
      <c r="F234" s="4">
        <f>VLOOKUP(A234,mau!A:C,3,0)</f>
        <v>696</v>
      </c>
      <c r="G234" s="12">
        <f t="shared" si="14"/>
        <v>0.30110497237569062</v>
      </c>
      <c r="H234" s="12">
        <f t="shared" si="15"/>
        <v>0.15660919540229884</v>
      </c>
    </row>
    <row r="235" spans="1:8" x14ac:dyDescent="0.3">
      <c r="A235" s="4">
        <f t="shared" si="12"/>
        <v>2</v>
      </c>
      <c r="B235" s="4">
        <f t="shared" si="13"/>
        <v>8</v>
      </c>
      <c r="C235" s="14">
        <v>46073</v>
      </c>
      <c r="D235" s="4">
        <v>84</v>
      </c>
      <c r="E235" s="4">
        <f>VLOOKUP(B235, wau!A:C,3,0)</f>
        <v>362</v>
      </c>
      <c r="F235" s="4">
        <f>VLOOKUP(A235,mau!A:C,3,0)</f>
        <v>696</v>
      </c>
      <c r="G235" s="12">
        <f t="shared" si="14"/>
        <v>0.23204419889502761</v>
      </c>
      <c r="H235" s="12">
        <f t="shared" si="15"/>
        <v>0.1206896551724138</v>
      </c>
    </row>
    <row r="236" spans="1:8" x14ac:dyDescent="0.3">
      <c r="A236" s="4">
        <f t="shared" si="12"/>
        <v>2</v>
      </c>
      <c r="B236" s="4">
        <f t="shared" si="13"/>
        <v>8</v>
      </c>
      <c r="C236" s="14">
        <v>46074</v>
      </c>
      <c r="D236" s="4">
        <v>98</v>
      </c>
      <c r="E236" s="4">
        <f>VLOOKUP(B236, wau!A:C,3,0)</f>
        <v>362</v>
      </c>
      <c r="F236" s="4">
        <f>VLOOKUP(A236,mau!A:C,3,0)</f>
        <v>696</v>
      </c>
      <c r="G236" s="12">
        <f t="shared" si="14"/>
        <v>0.27071823204419887</v>
      </c>
      <c r="H236" s="12">
        <f t="shared" si="15"/>
        <v>0.14080459770114942</v>
      </c>
    </row>
    <row r="237" spans="1:8" x14ac:dyDescent="0.3">
      <c r="A237" s="4">
        <f t="shared" si="12"/>
        <v>2</v>
      </c>
      <c r="B237" s="4">
        <f t="shared" si="13"/>
        <v>8</v>
      </c>
      <c r="C237" s="14">
        <v>46075</v>
      </c>
      <c r="D237" s="4">
        <v>115</v>
      </c>
      <c r="E237" s="4">
        <f>VLOOKUP(B237, wau!A:C,3,0)</f>
        <v>362</v>
      </c>
      <c r="F237" s="4">
        <f>VLOOKUP(A237,mau!A:C,3,0)</f>
        <v>696</v>
      </c>
      <c r="G237" s="12">
        <f t="shared" si="14"/>
        <v>0.31767955801104975</v>
      </c>
      <c r="H237" s="12">
        <f t="shared" si="15"/>
        <v>0.16522988505747127</v>
      </c>
    </row>
    <row r="238" spans="1:8" x14ac:dyDescent="0.3">
      <c r="A238" s="4">
        <f t="shared" si="12"/>
        <v>2</v>
      </c>
      <c r="B238" s="4">
        <f t="shared" si="13"/>
        <v>9</v>
      </c>
      <c r="C238" s="14">
        <v>46076</v>
      </c>
      <c r="D238" s="4">
        <v>95</v>
      </c>
      <c r="E238" s="4">
        <f>VLOOKUP(B238, wau!A:C,3,0)</f>
        <v>426</v>
      </c>
      <c r="F238" s="4">
        <f>VLOOKUP(A238,mau!A:C,3,0)</f>
        <v>696</v>
      </c>
      <c r="G238" s="12">
        <f t="shared" si="14"/>
        <v>0.22300469483568075</v>
      </c>
      <c r="H238" s="12">
        <f t="shared" si="15"/>
        <v>0.13649425287356323</v>
      </c>
    </row>
    <row r="239" spans="1:8" x14ac:dyDescent="0.3">
      <c r="A239" s="4">
        <f t="shared" si="12"/>
        <v>2</v>
      </c>
      <c r="B239" s="4">
        <f t="shared" si="13"/>
        <v>9</v>
      </c>
      <c r="C239" s="14">
        <v>46077</v>
      </c>
      <c r="D239" s="4">
        <v>106</v>
      </c>
      <c r="E239" s="4">
        <f>VLOOKUP(B239, wau!A:C,3,0)</f>
        <v>426</v>
      </c>
      <c r="F239" s="4">
        <f>VLOOKUP(A239,mau!A:C,3,0)</f>
        <v>696</v>
      </c>
      <c r="G239" s="12">
        <f t="shared" si="14"/>
        <v>0.24882629107981222</v>
      </c>
      <c r="H239" s="12">
        <f t="shared" si="15"/>
        <v>0.15229885057471265</v>
      </c>
    </row>
    <row r="240" spans="1:8" x14ac:dyDescent="0.3">
      <c r="A240" s="4">
        <f t="shared" si="12"/>
        <v>2</v>
      </c>
      <c r="B240" s="4">
        <f t="shared" si="13"/>
        <v>9</v>
      </c>
      <c r="C240" s="14">
        <v>46078</v>
      </c>
      <c r="D240" s="4">
        <v>118</v>
      </c>
      <c r="E240" s="4">
        <f>VLOOKUP(B240, wau!A:C,3,0)</f>
        <v>426</v>
      </c>
      <c r="F240" s="4">
        <f>VLOOKUP(A240,mau!A:C,3,0)</f>
        <v>696</v>
      </c>
      <c r="G240" s="12">
        <f t="shared" si="14"/>
        <v>0.27699530516431925</v>
      </c>
      <c r="H240" s="12">
        <f t="shared" si="15"/>
        <v>0.16954022988505746</v>
      </c>
    </row>
    <row r="241" spans="1:8" x14ac:dyDescent="0.3">
      <c r="A241" s="4">
        <f t="shared" si="12"/>
        <v>2</v>
      </c>
      <c r="B241" s="4">
        <f t="shared" si="13"/>
        <v>9</v>
      </c>
      <c r="C241" s="14">
        <v>46079</v>
      </c>
      <c r="D241" s="4">
        <v>127</v>
      </c>
      <c r="E241" s="4">
        <f>VLOOKUP(B241, wau!A:C,3,0)</f>
        <v>426</v>
      </c>
      <c r="F241" s="4">
        <f>VLOOKUP(A241,mau!A:C,3,0)</f>
        <v>696</v>
      </c>
      <c r="G241" s="12">
        <f t="shared" si="14"/>
        <v>0.2981220657276995</v>
      </c>
      <c r="H241" s="12">
        <f t="shared" si="15"/>
        <v>0.18247126436781611</v>
      </c>
    </row>
    <row r="242" spans="1:8" x14ac:dyDescent="0.3">
      <c r="A242" s="4">
        <f t="shared" si="12"/>
        <v>2</v>
      </c>
      <c r="B242" s="4">
        <f t="shared" si="13"/>
        <v>9</v>
      </c>
      <c r="C242" s="14">
        <v>46080</v>
      </c>
      <c r="D242" s="4">
        <v>104</v>
      </c>
      <c r="E242" s="4">
        <f>VLOOKUP(B242, wau!A:C,3,0)</f>
        <v>426</v>
      </c>
      <c r="F242" s="4">
        <f>VLOOKUP(A242,mau!A:C,3,0)</f>
        <v>696</v>
      </c>
      <c r="G242" s="12">
        <f t="shared" si="14"/>
        <v>0.24413145539906103</v>
      </c>
      <c r="H242" s="12">
        <f t="shared" si="15"/>
        <v>0.14942528735632185</v>
      </c>
    </row>
    <row r="243" spans="1:8" x14ac:dyDescent="0.3">
      <c r="A243" s="4">
        <f t="shared" si="12"/>
        <v>2</v>
      </c>
      <c r="B243" s="4">
        <f t="shared" si="13"/>
        <v>9</v>
      </c>
      <c r="C243" s="14">
        <v>46081</v>
      </c>
      <c r="D243" s="4">
        <v>131</v>
      </c>
      <c r="E243" s="4">
        <f>VLOOKUP(B243, wau!A:C,3,0)</f>
        <v>426</v>
      </c>
      <c r="F243" s="4">
        <f>VLOOKUP(A243,mau!A:C,3,0)</f>
        <v>696</v>
      </c>
      <c r="G243" s="12">
        <f t="shared" si="14"/>
        <v>0.30751173708920188</v>
      </c>
      <c r="H243" s="12">
        <f t="shared" si="15"/>
        <v>0.18821839080459771</v>
      </c>
    </row>
    <row r="244" spans="1:8" x14ac:dyDescent="0.3">
      <c r="A244" s="4">
        <f t="shared" si="12"/>
        <v>3</v>
      </c>
      <c r="B244" s="4">
        <f t="shared" si="13"/>
        <v>9</v>
      </c>
      <c r="C244" s="14">
        <v>46082</v>
      </c>
      <c r="D244" s="4">
        <v>130</v>
      </c>
      <c r="E244" s="4">
        <f>VLOOKUP(B244, wau!A:C,3,0)</f>
        <v>426</v>
      </c>
      <c r="F244" s="4">
        <f>VLOOKUP(A244,mau!A:C,3,0)</f>
        <v>1544</v>
      </c>
      <c r="G244" s="12">
        <f t="shared" si="14"/>
        <v>0.30516431924882631</v>
      </c>
      <c r="H244" s="12">
        <f t="shared" si="15"/>
        <v>8.4196891191709838E-2</v>
      </c>
    </row>
    <row r="245" spans="1:8" x14ac:dyDescent="0.3">
      <c r="A245" s="4">
        <f t="shared" si="12"/>
        <v>3</v>
      </c>
      <c r="B245" s="4">
        <f t="shared" si="13"/>
        <v>10</v>
      </c>
      <c r="C245" s="14">
        <v>46083</v>
      </c>
      <c r="D245" s="4">
        <v>138</v>
      </c>
      <c r="E245" s="4">
        <f>VLOOKUP(B245, wau!A:C,3,0)</f>
        <v>684</v>
      </c>
      <c r="F245" s="4">
        <f>VLOOKUP(A245,mau!A:C,3,0)</f>
        <v>1544</v>
      </c>
      <c r="G245" s="12">
        <f t="shared" si="14"/>
        <v>0.20175438596491227</v>
      </c>
      <c r="H245" s="12">
        <f t="shared" si="15"/>
        <v>8.937823834196891E-2</v>
      </c>
    </row>
    <row r="246" spans="1:8" x14ac:dyDescent="0.3">
      <c r="A246" s="4">
        <f t="shared" si="12"/>
        <v>3</v>
      </c>
      <c r="B246" s="4">
        <f t="shared" si="13"/>
        <v>10</v>
      </c>
      <c r="C246" s="14">
        <v>46084</v>
      </c>
      <c r="D246" s="4">
        <v>167</v>
      </c>
      <c r="E246" s="4">
        <f>VLOOKUP(B246, wau!A:C,3,0)</f>
        <v>684</v>
      </c>
      <c r="F246" s="4">
        <f>VLOOKUP(A246,mau!A:C,3,0)</f>
        <v>1544</v>
      </c>
      <c r="G246" s="12">
        <f t="shared" si="14"/>
        <v>0.24415204678362573</v>
      </c>
      <c r="H246" s="12">
        <f t="shared" si="15"/>
        <v>0.10816062176165803</v>
      </c>
    </row>
    <row r="247" spans="1:8" x14ac:dyDescent="0.3">
      <c r="A247" s="4">
        <f t="shared" si="12"/>
        <v>3</v>
      </c>
      <c r="B247" s="4">
        <f t="shared" si="13"/>
        <v>10</v>
      </c>
      <c r="C247" s="14">
        <v>46085</v>
      </c>
      <c r="D247" s="4">
        <v>170</v>
      </c>
      <c r="E247" s="4">
        <f>VLOOKUP(B247, wau!A:C,3,0)</f>
        <v>684</v>
      </c>
      <c r="F247" s="4">
        <f>VLOOKUP(A247,mau!A:C,3,0)</f>
        <v>1544</v>
      </c>
      <c r="G247" s="12">
        <f t="shared" si="14"/>
        <v>0.24853801169590642</v>
      </c>
      <c r="H247" s="12">
        <f t="shared" si="15"/>
        <v>0.11010362694300518</v>
      </c>
    </row>
    <row r="248" spans="1:8" x14ac:dyDescent="0.3">
      <c r="A248" s="4">
        <f t="shared" si="12"/>
        <v>3</v>
      </c>
      <c r="B248" s="4">
        <f t="shared" si="13"/>
        <v>10</v>
      </c>
      <c r="C248" s="14">
        <v>46086</v>
      </c>
      <c r="D248" s="4">
        <v>165</v>
      </c>
      <c r="E248" s="4">
        <f>VLOOKUP(B248, wau!A:C,3,0)</f>
        <v>684</v>
      </c>
      <c r="F248" s="4">
        <f>VLOOKUP(A248,mau!A:C,3,0)</f>
        <v>1544</v>
      </c>
      <c r="G248" s="12">
        <f t="shared" si="14"/>
        <v>0.2412280701754386</v>
      </c>
      <c r="H248" s="12">
        <f t="shared" si="15"/>
        <v>0.10686528497409327</v>
      </c>
    </row>
    <row r="249" spans="1:8" x14ac:dyDescent="0.3">
      <c r="A249" s="4">
        <f t="shared" si="12"/>
        <v>3</v>
      </c>
      <c r="B249" s="4">
        <f t="shared" si="13"/>
        <v>10</v>
      </c>
      <c r="C249" s="14">
        <v>46087</v>
      </c>
      <c r="D249" s="4">
        <v>149</v>
      </c>
      <c r="E249" s="4">
        <f>VLOOKUP(B249, wau!A:C,3,0)</f>
        <v>684</v>
      </c>
      <c r="F249" s="4">
        <f>VLOOKUP(A249,mau!A:C,3,0)</f>
        <v>1544</v>
      </c>
      <c r="G249" s="12">
        <f t="shared" si="14"/>
        <v>0.21783625730994152</v>
      </c>
      <c r="H249" s="12">
        <f t="shared" si="15"/>
        <v>9.6502590673575125E-2</v>
      </c>
    </row>
    <row r="250" spans="1:8" x14ac:dyDescent="0.3">
      <c r="A250" s="4">
        <f t="shared" si="12"/>
        <v>3</v>
      </c>
      <c r="B250" s="4">
        <f t="shared" si="13"/>
        <v>10</v>
      </c>
      <c r="C250" s="14">
        <v>46088</v>
      </c>
      <c r="D250" s="4">
        <v>151</v>
      </c>
      <c r="E250" s="4">
        <f>VLOOKUP(B250, wau!A:C,3,0)</f>
        <v>684</v>
      </c>
      <c r="F250" s="4">
        <f>VLOOKUP(A250,mau!A:C,3,0)</f>
        <v>1544</v>
      </c>
      <c r="G250" s="12">
        <f t="shared" si="14"/>
        <v>0.22076023391812866</v>
      </c>
      <c r="H250" s="12">
        <f t="shared" si="15"/>
        <v>9.7797927461139897E-2</v>
      </c>
    </row>
    <row r="251" spans="1:8" x14ac:dyDescent="0.3">
      <c r="A251" s="4">
        <f t="shared" si="12"/>
        <v>3</v>
      </c>
      <c r="B251" s="4">
        <f t="shared" si="13"/>
        <v>10</v>
      </c>
      <c r="C251" s="14">
        <v>46089</v>
      </c>
      <c r="D251" s="4">
        <v>173</v>
      </c>
      <c r="E251" s="4">
        <f>VLOOKUP(B251, wau!A:C,3,0)</f>
        <v>684</v>
      </c>
      <c r="F251" s="4">
        <f>VLOOKUP(A251,mau!A:C,3,0)</f>
        <v>1544</v>
      </c>
      <c r="G251" s="12">
        <f t="shared" si="14"/>
        <v>0.25292397660818716</v>
      </c>
      <c r="H251" s="12">
        <f t="shared" si="15"/>
        <v>0.11204663212435233</v>
      </c>
    </row>
    <row r="252" spans="1:8" x14ac:dyDescent="0.3">
      <c r="A252" s="4">
        <f t="shared" si="12"/>
        <v>3</v>
      </c>
      <c r="B252" s="4">
        <f t="shared" si="13"/>
        <v>11</v>
      </c>
      <c r="C252" s="14">
        <v>46090</v>
      </c>
      <c r="D252" s="4">
        <v>150</v>
      </c>
      <c r="E252" s="4">
        <f>VLOOKUP(B252, wau!A:C,3,0)</f>
        <v>729</v>
      </c>
      <c r="F252" s="4">
        <f>VLOOKUP(A252,mau!A:C,3,0)</f>
        <v>1544</v>
      </c>
      <c r="G252" s="12">
        <f t="shared" si="14"/>
        <v>0.20576131687242799</v>
      </c>
      <c r="H252" s="12">
        <f t="shared" si="15"/>
        <v>9.7150259067357511E-2</v>
      </c>
    </row>
    <row r="253" spans="1:8" x14ac:dyDescent="0.3">
      <c r="A253" s="4">
        <f t="shared" si="12"/>
        <v>3</v>
      </c>
      <c r="B253" s="4">
        <f t="shared" si="13"/>
        <v>11</v>
      </c>
      <c r="C253" s="14">
        <v>46091</v>
      </c>
      <c r="D253" s="4">
        <v>162</v>
      </c>
      <c r="E253" s="4">
        <f>VLOOKUP(B253, wau!A:C,3,0)</f>
        <v>729</v>
      </c>
      <c r="F253" s="4">
        <f>VLOOKUP(A253,mau!A:C,3,0)</f>
        <v>1544</v>
      </c>
      <c r="G253" s="12">
        <f t="shared" si="14"/>
        <v>0.22222222222222221</v>
      </c>
      <c r="H253" s="12">
        <f t="shared" si="15"/>
        <v>0.10492227979274611</v>
      </c>
    </row>
    <row r="254" spans="1:8" x14ac:dyDescent="0.3">
      <c r="A254" s="4">
        <f t="shared" si="12"/>
        <v>3</v>
      </c>
      <c r="B254" s="4">
        <f t="shared" si="13"/>
        <v>11</v>
      </c>
      <c r="C254" s="14">
        <v>46092</v>
      </c>
      <c r="D254" s="4">
        <v>175</v>
      </c>
      <c r="E254" s="4">
        <f>VLOOKUP(B254, wau!A:C,3,0)</f>
        <v>729</v>
      </c>
      <c r="F254" s="4">
        <f>VLOOKUP(A254,mau!A:C,3,0)</f>
        <v>1544</v>
      </c>
      <c r="G254" s="12">
        <f t="shared" si="14"/>
        <v>0.24005486968449932</v>
      </c>
      <c r="H254" s="12">
        <f t="shared" si="15"/>
        <v>0.1133419689119171</v>
      </c>
    </row>
    <row r="255" spans="1:8" x14ac:dyDescent="0.3">
      <c r="A255" s="4">
        <f t="shared" si="12"/>
        <v>3</v>
      </c>
      <c r="B255" s="4">
        <f t="shared" si="13"/>
        <v>11</v>
      </c>
      <c r="C255" s="14">
        <v>46093</v>
      </c>
      <c r="D255" s="4">
        <v>176</v>
      </c>
      <c r="E255" s="4">
        <f>VLOOKUP(B255, wau!A:C,3,0)</f>
        <v>729</v>
      </c>
      <c r="F255" s="4">
        <f>VLOOKUP(A255,mau!A:C,3,0)</f>
        <v>1544</v>
      </c>
      <c r="G255" s="12">
        <f t="shared" si="14"/>
        <v>0.24142661179698216</v>
      </c>
      <c r="H255" s="12">
        <f t="shared" si="15"/>
        <v>0.11398963730569948</v>
      </c>
    </row>
    <row r="256" spans="1:8" x14ac:dyDescent="0.3">
      <c r="A256" s="4">
        <f t="shared" si="12"/>
        <v>3</v>
      </c>
      <c r="B256" s="4">
        <f t="shared" si="13"/>
        <v>11</v>
      </c>
      <c r="C256" s="14">
        <v>46094</v>
      </c>
      <c r="D256" s="4">
        <v>180</v>
      </c>
      <c r="E256" s="4">
        <f>VLOOKUP(B256, wau!A:C,3,0)</f>
        <v>729</v>
      </c>
      <c r="F256" s="4">
        <f>VLOOKUP(A256,mau!A:C,3,0)</f>
        <v>1544</v>
      </c>
      <c r="G256" s="12">
        <f t="shared" si="14"/>
        <v>0.24691358024691357</v>
      </c>
      <c r="H256" s="12">
        <f t="shared" si="15"/>
        <v>0.11658031088082901</v>
      </c>
    </row>
    <row r="257" spans="1:8" x14ac:dyDescent="0.3">
      <c r="A257" s="4">
        <f t="shared" si="12"/>
        <v>3</v>
      </c>
      <c r="B257" s="4">
        <f t="shared" si="13"/>
        <v>11</v>
      </c>
      <c r="C257" s="14">
        <v>46095</v>
      </c>
      <c r="D257" s="4">
        <v>168</v>
      </c>
      <c r="E257" s="4">
        <f>VLOOKUP(B257, wau!A:C,3,0)</f>
        <v>729</v>
      </c>
      <c r="F257" s="4">
        <f>VLOOKUP(A257,mau!A:C,3,0)</f>
        <v>1544</v>
      </c>
      <c r="G257" s="12">
        <f t="shared" si="14"/>
        <v>0.23045267489711935</v>
      </c>
      <c r="H257" s="12">
        <f t="shared" si="15"/>
        <v>0.10880829015544041</v>
      </c>
    </row>
    <row r="258" spans="1:8" x14ac:dyDescent="0.3">
      <c r="A258" s="4">
        <f t="shared" si="12"/>
        <v>3</v>
      </c>
      <c r="B258" s="4">
        <f t="shared" si="13"/>
        <v>11</v>
      </c>
      <c r="C258" s="14">
        <v>46096</v>
      </c>
      <c r="D258" s="4">
        <v>185</v>
      </c>
      <c r="E258" s="4">
        <f>VLOOKUP(B258, wau!A:C,3,0)</f>
        <v>729</v>
      </c>
      <c r="F258" s="4">
        <f>VLOOKUP(A258,mau!A:C,3,0)</f>
        <v>1544</v>
      </c>
      <c r="G258" s="12">
        <f t="shared" si="14"/>
        <v>0.25377229080932784</v>
      </c>
      <c r="H258" s="12">
        <f t="shared" si="15"/>
        <v>0.11981865284974093</v>
      </c>
    </row>
    <row r="259" spans="1:8" x14ac:dyDescent="0.3">
      <c r="A259" s="4">
        <f t="shared" ref="A259:A304" si="16">MONTH(C259)</f>
        <v>3</v>
      </c>
      <c r="B259" s="4">
        <f t="shared" ref="B259:B304" si="17">_xlfn.ISOWEEKNUM(C259)</f>
        <v>12</v>
      </c>
      <c r="C259" s="14">
        <v>46097</v>
      </c>
      <c r="D259" s="4">
        <v>181</v>
      </c>
      <c r="E259" s="4">
        <f>VLOOKUP(B259, wau!A:C,3,0)</f>
        <v>773</v>
      </c>
      <c r="F259" s="4">
        <f>VLOOKUP(A259,mau!A:C,3,0)</f>
        <v>1544</v>
      </c>
      <c r="G259" s="12">
        <f t="shared" ref="G259:G304" si="18">D259/E259</f>
        <v>0.23415265200517466</v>
      </c>
      <c r="H259" s="12">
        <f t="shared" ref="H259:H304" si="19">D259/F259</f>
        <v>0.1172279792746114</v>
      </c>
    </row>
    <row r="260" spans="1:8" x14ac:dyDescent="0.3">
      <c r="A260" s="4">
        <f t="shared" si="16"/>
        <v>3</v>
      </c>
      <c r="B260" s="4">
        <f t="shared" si="17"/>
        <v>12</v>
      </c>
      <c r="C260" s="14">
        <v>46098</v>
      </c>
      <c r="D260" s="4">
        <v>172</v>
      </c>
      <c r="E260" s="4">
        <f>VLOOKUP(B260, wau!A:C,3,0)</f>
        <v>773</v>
      </c>
      <c r="F260" s="4">
        <f>VLOOKUP(A260,mau!A:C,3,0)</f>
        <v>1544</v>
      </c>
      <c r="G260" s="12">
        <f t="shared" si="18"/>
        <v>0.22250970245795601</v>
      </c>
      <c r="H260" s="12">
        <f t="shared" si="19"/>
        <v>0.11139896373056994</v>
      </c>
    </row>
    <row r="261" spans="1:8" x14ac:dyDescent="0.3">
      <c r="A261" s="4">
        <f t="shared" si="16"/>
        <v>3</v>
      </c>
      <c r="B261" s="4">
        <f t="shared" si="17"/>
        <v>12</v>
      </c>
      <c r="C261" s="14">
        <v>46099</v>
      </c>
      <c r="D261" s="4">
        <v>187</v>
      </c>
      <c r="E261" s="4">
        <f>VLOOKUP(B261, wau!A:C,3,0)</f>
        <v>773</v>
      </c>
      <c r="F261" s="4">
        <f>VLOOKUP(A261,mau!A:C,3,0)</f>
        <v>1544</v>
      </c>
      <c r="G261" s="12">
        <f t="shared" si="18"/>
        <v>0.24191461836998707</v>
      </c>
      <c r="H261" s="12">
        <f t="shared" si="19"/>
        <v>0.1211139896373057</v>
      </c>
    </row>
    <row r="262" spans="1:8" x14ac:dyDescent="0.3">
      <c r="A262" s="4">
        <f t="shared" si="16"/>
        <v>3</v>
      </c>
      <c r="B262" s="4">
        <f t="shared" si="17"/>
        <v>12</v>
      </c>
      <c r="C262" s="14">
        <v>46100</v>
      </c>
      <c r="D262" s="4">
        <v>218</v>
      </c>
      <c r="E262" s="4">
        <f>VLOOKUP(B262, wau!A:C,3,0)</f>
        <v>773</v>
      </c>
      <c r="F262" s="4">
        <f>VLOOKUP(A262,mau!A:C,3,0)</f>
        <v>1544</v>
      </c>
      <c r="G262" s="12">
        <f t="shared" si="18"/>
        <v>0.28201811125485121</v>
      </c>
      <c r="H262" s="12">
        <f t="shared" si="19"/>
        <v>0.14119170984455959</v>
      </c>
    </row>
    <row r="263" spans="1:8" x14ac:dyDescent="0.3">
      <c r="A263" s="4">
        <f t="shared" si="16"/>
        <v>3</v>
      </c>
      <c r="B263" s="4">
        <f t="shared" si="17"/>
        <v>12</v>
      </c>
      <c r="C263" s="14">
        <v>46101</v>
      </c>
      <c r="D263" s="4">
        <v>184</v>
      </c>
      <c r="E263" s="4">
        <f>VLOOKUP(B263, wau!A:C,3,0)</f>
        <v>773</v>
      </c>
      <c r="F263" s="4">
        <f>VLOOKUP(A263,mau!A:C,3,0)</f>
        <v>1544</v>
      </c>
      <c r="G263" s="12">
        <f t="shared" si="18"/>
        <v>0.23803363518758086</v>
      </c>
      <c r="H263" s="12">
        <f t="shared" si="19"/>
        <v>0.11917098445595854</v>
      </c>
    </row>
    <row r="264" spans="1:8" x14ac:dyDescent="0.3">
      <c r="A264" s="4">
        <f t="shared" si="16"/>
        <v>3</v>
      </c>
      <c r="B264" s="4">
        <f t="shared" si="17"/>
        <v>12</v>
      </c>
      <c r="C264" s="14">
        <v>46102</v>
      </c>
      <c r="D264" s="4">
        <v>194</v>
      </c>
      <c r="E264" s="4">
        <f>VLOOKUP(B264, wau!A:C,3,0)</f>
        <v>773</v>
      </c>
      <c r="F264" s="4">
        <f>VLOOKUP(A264,mau!A:C,3,0)</f>
        <v>1544</v>
      </c>
      <c r="G264" s="12">
        <f t="shared" si="18"/>
        <v>0.25097024579560157</v>
      </c>
      <c r="H264" s="12">
        <f t="shared" si="19"/>
        <v>0.12564766839378239</v>
      </c>
    </row>
    <row r="265" spans="1:8" x14ac:dyDescent="0.3">
      <c r="A265" s="4">
        <f t="shared" si="16"/>
        <v>3</v>
      </c>
      <c r="B265" s="4">
        <f t="shared" si="17"/>
        <v>12</v>
      </c>
      <c r="C265" s="14">
        <v>46103</v>
      </c>
      <c r="D265" s="4">
        <v>131</v>
      </c>
      <c r="E265" s="4">
        <f>VLOOKUP(B265, wau!A:C,3,0)</f>
        <v>773</v>
      </c>
      <c r="F265" s="4">
        <f>VLOOKUP(A265,mau!A:C,3,0)</f>
        <v>1544</v>
      </c>
      <c r="G265" s="12">
        <f t="shared" si="18"/>
        <v>0.16946959896507116</v>
      </c>
      <c r="H265" s="12">
        <f t="shared" si="19"/>
        <v>8.4844559585492224E-2</v>
      </c>
    </row>
    <row r="266" spans="1:8" x14ac:dyDescent="0.3">
      <c r="A266" s="4">
        <f t="shared" si="16"/>
        <v>3</v>
      </c>
      <c r="B266" s="4">
        <f t="shared" si="17"/>
        <v>13</v>
      </c>
      <c r="C266" s="14">
        <v>46104</v>
      </c>
      <c r="D266" s="4">
        <v>176</v>
      </c>
      <c r="E266" s="4">
        <f>VLOOKUP(B266, wau!A:C,3,0)</f>
        <v>579</v>
      </c>
      <c r="F266" s="4">
        <f>VLOOKUP(A266,mau!A:C,3,0)</f>
        <v>1544</v>
      </c>
      <c r="G266" s="12">
        <f t="shared" si="18"/>
        <v>0.30397236614853196</v>
      </c>
      <c r="H266" s="12">
        <f t="shared" si="19"/>
        <v>0.11398963730569948</v>
      </c>
    </row>
    <row r="267" spans="1:8" x14ac:dyDescent="0.3">
      <c r="A267" s="4">
        <f t="shared" si="16"/>
        <v>3</v>
      </c>
      <c r="B267" s="4">
        <f t="shared" si="17"/>
        <v>13</v>
      </c>
      <c r="C267" s="14">
        <v>46105</v>
      </c>
      <c r="D267" s="4">
        <v>136</v>
      </c>
      <c r="E267" s="4">
        <f>VLOOKUP(B267, wau!A:C,3,0)</f>
        <v>579</v>
      </c>
      <c r="F267" s="4">
        <f>VLOOKUP(A267,mau!A:C,3,0)</f>
        <v>1544</v>
      </c>
      <c r="G267" s="12">
        <f t="shared" si="18"/>
        <v>0.23488773747841105</v>
      </c>
      <c r="H267" s="12">
        <f t="shared" si="19"/>
        <v>8.8082901554404139E-2</v>
      </c>
    </row>
    <row r="268" spans="1:8" x14ac:dyDescent="0.3">
      <c r="A268" s="4">
        <f t="shared" si="16"/>
        <v>3</v>
      </c>
      <c r="B268" s="4">
        <f t="shared" si="17"/>
        <v>13</v>
      </c>
      <c r="C268" s="14">
        <v>46106</v>
      </c>
      <c r="D268" s="4">
        <v>153</v>
      </c>
      <c r="E268" s="4">
        <f>VLOOKUP(B268, wau!A:C,3,0)</f>
        <v>579</v>
      </c>
      <c r="F268" s="4">
        <f>VLOOKUP(A268,mau!A:C,3,0)</f>
        <v>1544</v>
      </c>
      <c r="G268" s="12">
        <f t="shared" si="18"/>
        <v>0.26424870466321243</v>
      </c>
      <c r="H268" s="12">
        <f t="shared" si="19"/>
        <v>9.9093264248704668E-2</v>
      </c>
    </row>
    <row r="269" spans="1:8" x14ac:dyDescent="0.3">
      <c r="A269" s="4">
        <f t="shared" si="16"/>
        <v>3</v>
      </c>
      <c r="B269" s="4">
        <f t="shared" si="17"/>
        <v>13</v>
      </c>
      <c r="C269" s="14">
        <v>46107</v>
      </c>
      <c r="D269" s="4">
        <v>159</v>
      </c>
      <c r="E269" s="4">
        <f>VLOOKUP(B269, wau!A:C,3,0)</f>
        <v>579</v>
      </c>
      <c r="F269" s="4">
        <f>VLOOKUP(A269,mau!A:C,3,0)</f>
        <v>1544</v>
      </c>
      <c r="G269" s="12">
        <f t="shared" si="18"/>
        <v>0.27461139896373055</v>
      </c>
      <c r="H269" s="12">
        <f t="shared" si="19"/>
        <v>0.10297927461139897</v>
      </c>
    </row>
    <row r="270" spans="1:8" x14ac:dyDescent="0.3">
      <c r="A270" s="4">
        <f t="shared" si="16"/>
        <v>3</v>
      </c>
      <c r="B270" s="4">
        <f t="shared" si="17"/>
        <v>13</v>
      </c>
      <c r="C270" s="14">
        <v>46108</v>
      </c>
      <c r="D270" s="4">
        <v>143</v>
      </c>
      <c r="E270" s="4">
        <f>VLOOKUP(B270, wau!A:C,3,0)</f>
        <v>579</v>
      </c>
      <c r="F270" s="4">
        <f>VLOOKUP(A270,mau!A:C,3,0)</f>
        <v>1544</v>
      </c>
      <c r="G270" s="12">
        <f t="shared" si="18"/>
        <v>0.24697754749568221</v>
      </c>
      <c r="H270" s="12">
        <f t="shared" si="19"/>
        <v>9.2616580310880825E-2</v>
      </c>
    </row>
    <row r="271" spans="1:8" x14ac:dyDescent="0.3">
      <c r="A271" s="4">
        <f t="shared" si="16"/>
        <v>3</v>
      </c>
      <c r="B271" s="4">
        <f t="shared" si="17"/>
        <v>13</v>
      </c>
      <c r="C271" s="14">
        <v>46109</v>
      </c>
      <c r="D271" s="4">
        <v>156</v>
      </c>
      <c r="E271" s="4">
        <f>VLOOKUP(B271, wau!A:C,3,0)</f>
        <v>579</v>
      </c>
      <c r="F271" s="4">
        <f>VLOOKUP(A271,mau!A:C,3,0)</f>
        <v>1544</v>
      </c>
      <c r="G271" s="12">
        <f t="shared" si="18"/>
        <v>0.26943005181347152</v>
      </c>
      <c r="H271" s="12">
        <f t="shared" si="19"/>
        <v>0.10103626943005181</v>
      </c>
    </row>
    <row r="272" spans="1:8" x14ac:dyDescent="0.3">
      <c r="A272" s="4">
        <f t="shared" si="16"/>
        <v>3</v>
      </c>
      <c r="B272" s="4">
        <f t="shared" si="17"/>
        <v>13</v>
      </c>
      <c r="C272" s="14">
        <v>46110</v>
      </c>
      <c r="D272" s="4">
        <v>151</v>
      </c>
      <c r="E272" s="4">
        <f>VLOOKUP(B272, wau!A:C,3,0)</f>
        <v>579</v>
      </c>
      <c r="F272" s="4">
        <f>VLOOKUP(A272,mau!A:C,3,0)</f>
        <v>1544</v>
      </c>
      <c r="G272" s="12">
        <f t="shared" si="18"/>
        <v>0.26079447322970639</v>
      </c>
      <c r="H272" s="12">
        <f t="shared" si="19"/>
        <v>9.7797927461139897E-2</v>
      </c>
    </row>
    <row r="273" spans="1:8" x14ac:dyDescent="0.3">
      <c r="A273" s="4">
        <f t="shared" si="16"/>
        <v>3</v>
      </c>
      <c r="B273" s="4">
        <f t="shared" si="17"/>
        <v>14</v>
      </c>
      <c r="C273" s="14">
        <v>46111</v>
      </c>
      <c r="D273" s="4">
        <v>148</v>
      </c>
      <c r="E273" s="4">
        <f>VLOOKUP(B273, wau!A:C,3,0)</f>
        <v>697</v>
      </c>
      <c r="F273" s="4">
        <f>VLOOKUP(A273,mau!A:C,3,0)</f>
        <v>1544</v>
      </c>
      <c r="G273" s="12">
        <f t="shared" si="18"/>
        <v>0.21233859397417504</v>
      </c>
      <c r="H273" s="12">
        <f t="shared" si="19"/>
        <v>9.585492227979274E-2</v>
      </c>
    </row>
    <row r="274" spans="1:8" x14ac:dyDescent="0.3">
      <c r="A274" s="4">
        <f t="shared" si="16"/>
        <v>3</v>
      </c>
      <c r="B274" s="4">
        <f t="shared" si="17"/>
        <v>14</v>
      </c>
      <c r="C274" s="14">
        <v>46112</v>
      </c>
      <c r="D274" s="4">
        <v>184</v>
      </c>
      <c r="E274" s="4">
        <f>VLOOKUP(B274, wau!A:C,3,0)</f>
        <v>697</v>
      </c>
      <c r="F274" s="4">
        <f>VLOOKUP(A274,mau!A:C,3,0)</f>
        <v>1544</v>
      </c>
      <c r="G274" s="12">
        <f t="shared" si="18"/>
        <v>0.26398852223816355</v>
      </c>
      <c r="H274" s="12">
        <f t="shared" si="19"/>
        <v>0.11917098445595854</v>
      </c>
    </row>
    <row r="275" spans="1:8" x14ac:dyDescent="0.3">
      <c r="A275" s="4">
        <f t="shared" si="16"/>
        <v>4</v>
      </c>
      <c r="B275" s="4">
        <f t="shared" si="17"/>
        <v>14</v>
      </c>
      <c r="C275" s="14">
        <v>46113</v>
      </c>
      <c r="D275" s="4">
        <v>204</v>
      </c>
      <c r="E275" s="4">
        <f>VLOOKUP(B275, wau!A:C,3,0)</f>
        <v>697</v>
      </c>
      <c r="F275" s="4">
        <f>VLOOKUP(A275,mau!A:C,3,0)</f>
        <v>1027</v>
      </c>
      <c r="G275" s="12">
        <f t="shared" si="18"/>
        <v>0.29268292682926828</v>
      </c>
      <c r="H275" s="12">
        <f t="shared" si="19"/>
        <v>0.19863680623174293</v>
      </c>
    </row>
    <row r="276" spans="1:8" x14ac:dyDescent="0.3">
      <c r="A276" s="4">
        <f t="shared" si="16"/>
        <v>4</v>
      </c>
      <c r="B276" s="4">
        <f t="shared" si="17"/>
        <v>14</v>
      </c>
      <c r="C276" s="14">
        <v>46114</v>
      </c>
      <c r="D276" s="4">
        <v>215</v>
      </c>
      <c r="E276" s="4">
        <f>VLOOKUP(B276, wau!A:C,3,0)</f>
        <v>697</v>
      </c>
      <c r="F276" s="4">
        <f>VLOOKUP(A276,mau!A:C,3,0)</f>
        <v>1027</v>
      </c>
      <c r="G276" s="12">
        <f t="shared" si="18"/>
        <v>0.3084648493543759</v>
      </c>
      <c r="H276" s="12">
        <f t="shared" si="19"/>
        <v>0.20934761441090555</v>
      </c>
    </row>
    <row r="277" spans="1:8" x14ac:dyDescent="0.3">
      <c r="A277" s="4">
        <f t="shared" si="16"/>
        <v>4</v>
      </c>
      <c r="B277" s="4">
        <f t="shared" si="17"/>
        <v>14</v>
      </c>
      <c r="C277" s="14">
        <v>46115</v>
      </c>
      <c r="D277" s="4">
        <v>198</v>
      </c>
      <c r="E277" s="4">
        <f>VLOOKUP(B277, wau!A:C,3,0)</f>
        <v>697</v>
      </c>
      <c r="F277" s="4">
        <f>VLOOKUP(A277,mau!A:C,3,0)</f>
        <v>1027</v>
      </c>
      <c r="G277" s="12">
        <f t="shared" si="18"/>
        <v>0.28407460545193686</v>
      </c>
      <c r="H277" s="12">
        <f t="shared" si="19"/>
        <v>0.19279454722492698</v>
      </c>
    </row>
    <row r="278" spans="1:8" x14ac:dyDescent="0.3">
      <c r="A278" s="4">
        <f t="shared" si="16"/>
        <v>4</v>
      </c>
      <c r="B278" s="4">
        <f t="shared" si="17"/>
        <v>14</v>
      </c>
      <c r="C278" s="14">
        <v>46116</v>
      </c>
      <c r="D278" s="4">
        <v>199</v>
      </c>
      <c r="E278" s="4">
        <f>VLOOKUP(B278, wau!A:C,3,0)</f>
        <v>697</v>
      </c>
      <c r="F278" s="4">
        <f>VLOOKUP(A278,mau!A:C,3,0)</f>
        <v>1027</v>
      </c>
      <c r="G278" s="12">
        <f t="shared" si="18"/>
        <v>0.28550932568149212</v>
      </c>
      <c r="H278" s="12">
        <f t="shared" si="19"/>
        <v>0.19376825705939629</v>
      </c>
    </row>
    <row r="279" spans="1:8" x14ac:dyDescent="0.3">
      <c r="A279" s="4">
        <f t="shared" si="16"/>
        <v>4</v>
      </c>
      <c r="B279" s="4">
        <f t="shared" si="17"/>
        <v>14</v>
      </c>
      <c r="C279" s="14">
        <v>46117</v>
      </c>
      <c r="D279" s="4">
        <v>188</v>
      </c>
      <c r="E279" s="4">
        <f>VLOOKUP(B279, wau!A:C,3,0)</f>
        <v>697</v>
      </c>
      <c r="F279" s="4">
        <f>VLOOKUP(A279,mau!A:C,3,0)</f>
        <v>1027</v>
      </c>
      <c r="G279" s="12">
        <f t="shared" si="18"/>
        <v>0.26972740315638449</v>
      </c>
      <c r="H279" s="12">
        <f t="shared" si="19"/>
        <v>0.1830574488802337</v>
      </c>
    </row>
    <row r="280" spans="1:8" x14ac:dyDescent="0.3">
      <c r="A280" s="4">
        <f t="shared" si="16"/>
        <v>4</v>
      </c>
      <c r="B280" s="4">
        <f t="shared" si="17"/>
        <v>15</v>
      </c>
      <c r="C280" s="14">
        <v>46118</v>
      </c>
      <c r="D280" s="4">
        <v>197</v>
      </c>
      <c r="E280" s="4">
        <f>VLOOKUP(B280, wau!A:C,3,0)</f>
        <v>665</v>
      </c>
      <c r="F280" s="4">
        <f>VLOOKUP(A280,mau!A:C,3,0)</f>
        <v>1027</v>
      </c>
      <c r="G280" s="12">
        <f t="shared" si="18"/>
        <v>0.29624060150375942</v>
      </c>
      <c r="H280" s="12">
        <f t="shared" si="19"/>
        <v>0.19182083739045763</v>
      </c>
    </row>
    <row r="281" spans="1:8" x14ac:dyDescent="0.3">
      <c r="A281" s="4">
        <f t="shared" si="16"/>
        <v>4</v>
      </c>
      <c r="B281" s="4">
        <f t="shared" si="17"/>
        <v>15</v>
      </c>
      <c r="C281" s="14">
        <v>46119</v>
      </c>
      <c r="D281" s="4">
        <v>192</v>
      </c>
      <c r="E281" s="4">
        <f>VLOOKUP(B281, wau!A:C,3,0)</f>
        <v>665</v>
      </c>
      <c r="F281" s="4">
        <f>VLOOKUP(A281,mau!A:C,3,0)</f>
        <v>1027</v>
      </c>
      <c r="G281" s="12">
        <f t="shared" si="18"/>
        <v>0.28872180451127821</v>
      </c>
      <c r="H281" s="12">
        <f t="shared" si="19"/>
        <v>0.186952288218111</v>
      </c>
    </row>
    <row r="282" spans="1:8" x14ac:dyDescent="0.3">
      <c r="A282" s="4">
        <f t="shared" si="16"/>
        <v>4</v>
      </c>
      <c r="B282" s="4">
        <f t="shared" si="17"/>
        <v>15</v>
      </c>
      <c r="C282" s="14">
        <v>46120</v>
      </c>
      <c r="D282" s="4">
        <v>200</v>
      </c>
      <c r="E282" s="4">
        <f>VLOOKUP(B282, wau!A:C,3,0)</f>
        <v>665</v>
      </c>
      <c r="F282" s="4">
        <f>VLOOKUP(A282,mau!A:C,3,0)</f>
        <v>1027</v>
      </c>
      <c r="G282" s="12">
        <f t="shared" si="18"/>
        <v>0.3007518796992481</v>
      </c>
      <c r="H282" s="12">
        <f t="shared" si="19"/>
        <v>0.19474196689386564</v>
      </c>
    </row>
    <row r="283" spans="1:8" x14ac:dyDescent="0.3">
      <c r="A283" s="4">
        <f t="shared" si="16"/>
        <v>4</v>
      </c>
      <c r="B283" s="4">
        <f t="shared" si="17"/>
        <v>15</v>
      </c>
      <c r="C283" s="14">
        <v>46121</v>
      </c>
      <c r="D283" s="4">
        <v>192</v>
      </c>
      <c r="E283" s="4">
        <f>VLOOKUP(B283, wau!A:C,3,0)</f>
        <v>665</v>
      </c>
      <c r="F283" s="4">
        <f>VLOOKUP(A283,mau!A:C,3,0)</f>
        <v>1027</v>
      </c>
      <c r="G283" s="12">
        <f t="shared" si="18"/>
        <v>0.28872180451127821</v>
      </c>
      <c r="H283" s="12">
        <f t="shared" si="19"/>
        <v>0.186952288218111</v>
      </c>
    </row>
    <row r="284" spans="1:8" x14ac:dyDescent="0.3">
      <c r="A284" s="4">
        <f t="shared" si="16"/>
        <v>4</v>
      </c>
      <c r="B284" s="4">
        <f t="shared" si="17"/>
        <v>15</v>
      </c>
      <c r="C284" s="14">
        <v>46122</v>
      </c>
      <c r="D284" s="4">
        <v>172</v>
      </c>
      <c r="E284" s="4">
        <f>VLOOKUP(B284, wau!A:C,3,0)</f>
        <v>665</v>
      </c>
      <c r="F284" s="4">
        <f>VLOOKUP(A284,mau!A:C,3,0)</f>
        <v>1027</v>
      </c>
      <c r="G284" s="12">
        <f t="shared" si="18"/>
        <v>0.2586466165413534</v>
      </c>
      <c r="H284" s="12">
        <f t="shared" si="19"/>
        <v>0.16747809152872445</v>
      </c>
    </row>
    <row r="285" spans="1:8" x14ac:dyDescent="0.3">
      <c r="A285" s="4">
        <f t="shared" si="16"/>
        <v>4</v>
      </c>
      <c r="B285" s="4">
        <f t="shared" si="17"/>
        <v>15</v>
      </c>
      <c r="C285" s="14">
        <v>46123</v>
      </c>
      <c r="D285" s="4">
        <v>160</v>
      </c>
      <c r="E285" s="4">
        <f>VLOOKUP(B285, wau!A:C,3,0)</f>
        <v>665</v>
      </c>
      <c r="F285" s="4">
        <f>VLOOKUP(A285,mau!A:C,3,0)</f>
        <v>1027</v>
      </c>
      <c r="G285" s="12">
        <f t="shared" si="18"/>
        <v>0.24060150375939848</v>
      </c>
      <c r="H285" s="12">
        <f t="shared" si="19"/>
        <v>0.15579357351509251</v>
      </c>
    </row>
    <row r="286" spans="1:8" x14ac:dyDescent="0.3">
      <c r="A286" s="4">
        <f t="shared" si="16"/>
        <v>4</v>
      </c>
      <c r="B286" s="4">
        <f t="shared" si="17"/>
        <v>15</v>
      </c>
      <c r="C286" s="14">
        <v>46124</v>
      </c>
      <c r="D286" s="4">
        <v>168</v>
      </c>
      <c r="E286" s="4">
        <f>VLOOKUP(B286, wau!A:C,3,0)</f>
        <v>665</v>
      </c>
      <c r="F286" s="4">
        <f>VLOOKUP(A286,mau!A:C,3,0)</f>
        <v>1027</v>
      </c>
      <c r="G286" s="12">
        <f t="shared" si="18"/>
        <v>0.25263157894736843</v>
      </c>
      <c r="H286" s="12">
        <f t="shared" si="19"/>
        <v>0.16358325219084713</v>
      </c>
    </row>
    <row r="287" spans="1:8" x14ac:dyDescent="0.3">
      <c r="A287" s="4">
        <f t="shared" si="16"/>
        <v>4</v>
      </c>
      <c r="B287" s="4">
        <f t="shared" si="17"/>
        <v>16</v>
      </c>
      <c r="C287" s="14">
        <v>46125</v>
      </c>
      <c r="D287" s="4">
        <v>171</v>
      </c>
      <c r="E287" s="4">
        <f>VLOOKUP(B287, wau!A:C,3,0)</f>
        <v>584</v>
      </c>
      <c r="F287" s="4">
        <f>VLOOKUP(A287,mau!A:C,3,0)</f>
        <v>1027</v>
      </c>
      <c r="G287" s="12">
        <f t="shared" si="18"/>
        <v>0.2928082191780822</v>
      </c>
      <c r="H287" s="12">
        <f t="shared" si="19"/>
        <v>0.1665043816942551</v>
      </c>
    </row>
    <row r="288" spans="1:8" x14ac:dyDescent="0.3">
      <c r="A288" s="4">
        <f t="shared" si="16"/>
        <v>4</v>
      </c>
      <c r="B288" s="4">
        <f t="shared" si="17"/>
        <v>16</v>
      </c>
      <c r="C288" s="14">
        <v>46126</v>
      </c>
      <c r="D288" s="4">
        <v>154</v>
      </c>
      <c r="E288" s="4">
        <f>VLOOKUP(B288, wau!A:C,3,0)</f>
        <v>584</v>
      </c>
      <c r="F288" s="4">
        <f>VLOOKUP(A288,mau!A:C,3,0)</f>
        <v>1027</v>
      </c>
      <c r="G288" s="12">
        <f t="shared" si="18"/>
        <v>0.2636986301369863</v>
      </c>
      <c r="H288" s="12">
        <f t="shared" si="19"/>
        <v>0.14995131450827653</v>
      </c>
    </row>
    <row r="289" spans="1:8" x14ac:dyDescent="0.3">
      <c r="A289" s="4">
        <f t="shared" si="16"/>
        <v>4</v>
      </c>
      <c r="B289" s="4">
        <f t="shared" si="17"/>
        <v>16</v>
      </c>
      <c r="C289" s="14">
        <v>46127</v>
      </c>
      <c r="D289" s="4">
        <v>146</v>
      </c>
      <c r="E289" s="4">
        <f>VLOOKUP(B289, wau!A:C,3,0)</f>
        <v>584</v>
      </c>
      <c r="F289" s="4">
        <f>VLOOKUP(A289,mau!A:C,3,0)</f>
        <v>1027</v>
      </c>
      <c r="G289" s="12">
        <f t="shared" si="18"/>
        <v>0.25</v>
      </c>
      <c r="H289" s="12">
        <f t="shared" si="19"/>
        <v>0.14216163583252192</v>
      </c>
    </row>
    <row r="290" spans="1:8" x14ac:dyDescent="0.3">
      <c r="A290" s="4">
        <f t="shared" si="16"/>
        <v>4</v>
      </c>
      <c r="B290" s="4">
        <f t="shared" si="17"/>
        <v>16</v>
      </c>
      <c r="C290" s="14">
        <v>46128</v>
      </c>
      <c r="D290" s="4">
        <v>166</v>
      </c>
      <c r="E290" s="4">
        <f>VLOOKUP(B290, wau!A:C,3,0)</f>
        <v>584</v>
      </c>
      <c r="F290" s="4">
        <f>VLOOKUP(A290,mau!A:C,3,0)</f>
        <v>1027</v>
      </c>
      <c r="G290" s="12">
        <f t="shared" si="18"/>
        <v>0.28424657534246578</v>
      </c>
      <c r="H290" s="12">
        <f t="shared" si="19"/>
        <v>0.16163583252190847</v>
      </c>
    </row>
    <row r="291" spans="1:8" x14ac:dyDescent="0.3">
      <c r="A291" s="4">
        <f t="shared" si="16"/>
        <v>4</v>
      </c>
      <c r="B291" s="4">
        <f t="shared" si="17"/>
        <v>16</v>
      </c>
      <c r="C291" s="14">
        <v>46129</v>
      </c>
      <c r="D291" s="4">
        <v>134</v>
      </c>
      <c r="E291" s="4">
        <f>VLOOKUP(B291, wau!A:C,3,0)</f>
        <v>584</v>
      </c>
      <c r="F291" s="4">
        <f>VLOOKUP(A291,mau!A:C,3,0)</f>
        <v>1027</v>
      </c>
      <c r="G291" s="12">
        <f t="shared" si="18"/>
        <v>0.22945205479452055</v>
      </c>
      <c r="H291" s="12">
        <f t="shared" si="19"/>
        <v>0.13047711781888996</v>
      </c>
    </row>
    <row r="292" spans="1:8" x14ac:dyDescent="0.3">
      <c r="A292" s="4">
        <f t="shared" si="16"/>
        <v>4</v>
      </c>
      <c r="B292" s="4">
        <f t="shared" si="17"/>
        <v>16</v>
      </c>
      <c r="C292" s="14">
        <v>46130</v>
      </c>
      <c r="D292" s="4">
        <v>149</v>
      </c>
      <c r="E292" s="4">
        <f>VLOOKUP(B292, wau!A:C,3,0)</f>
        <v>584</v>
      </c>
      <c r="F292" s="4">
        <f>VLOOKUP(A292,mau!A:C,3,0)</f>
        <v>1027</v>
      </c>
      <c r="G292" s="12">
        <f t="shared" si="18"/>
        <v>0.25513698630136988</v>
      </c>
      <c r="H292" s="12">
        <f t="shared" si="19"/>
        <v>0.1450827653359299</v>
      </c>
    </row>
    <row r="293" spans="1:8" x14ac:dyDescent="0.3">
      <c r="A293" s="4">
        <f t="shared" si="16"/>
        <v>4</v>
      </c>
      <c r="B293" s="4">
        <f t="shared" si="17"/>
        <v>16</v>
      </c>
      <c r="C293" s="14">
        <v>46131</v>
      </c>
      <c r="D293" s="4">
        <v>132</v>
      </c>
      <c r="E293" s="4">
        <f>VLOOKUP(B293, wau!A:C,3,0)</f>
        <v>584</v>
      </c>
      <c r="F293" s="4">
        <f>VLOOKUP(A293,mau!A:C,3,0)</f>
        <v>1027</v>
      </c>
      <c r="G293" s="12">
        <f t="shared" si="18"/>
        <v>0.22602739726027396</v>
      </c>
      <c r="H293" s="12">
        <f t="shared" si="19"/>
        <v>0.12852969814995133</v>
      </c>
    </row>
    <row r="294" spans="1:8" x14ac:dyDescent="0.3">
      <c r="A294" s="4">
        <f t="shared" si="16"/>
        <v>4</v>
      </c>
      <c r="B294" s="4">
        <f t="shared" si="17"/>
        <v>17</v>
      </c>
      <c r="C294" s="14">
        <v>46132</v>
      </c>
      <c r="D294" s="4">
        <v>131</v>
      </c>
      <c r="E294" s="4">
        <f>VLOOKUP(B294, wau!A:C,3,0)</f>
        <v>491</v>
      </c>
      <c r="F294" s="4">
        <f>VLOOKUP(A294,mau!A:C,3,0)</f>
        <v>1027</v>
      </c>
      <c r="G294" s="12">
        <f t="shared" si="18"/>
        <v>0.26680244399185338</v>
      </c>
      <c r="H294" s="12">
        <f t="shared" si="19"/>
        <v>0.12755598831548198</v>
      </c>
    </row>
    <row r="295" spans="1:8" x14ac:dyDescent="0.3">
      <c r="A295" s="4">
        <f t="shared" si="16"/>
        <v>4</v>
      </c>
      <c r="B295" s="4">
        <f t="shared" si="17"/>
        <v>17</v>
      </c>
      <c r="C295" s="14">
        <v>46133</v>
      </c>
      <c r="D295" s="4">
        <v>104</v>
      </c>
      <c r="E295" s="4">
        <f>VLOOKUP(B295, wau!A:C,3,0)</f>
        <v>491</v>
      </c>
      <c r="F295" s="4">
        <f>VLOOKUP(A295,mau!A:C,3,0)</f>
        <v>1027</v>
      </c>
      <c r="G295" s="12">
        <f t="shared" si="18"/>
        <v>0.21181262729124237</v>
      </c>
      <c r="H295" s="12">
        <f t="shared" si="19"/>
        <v>0.10126582278481013</v>
      </c>
    </row>
    <row r="296" spans="1:8" x14ac:dyDescent="0.3">
      <c r="A296" s="4">
        <f t="shared" si="16"/>
        <v>4</v>
      </c>
      <c r="B296" s="4">
        <f t="shared" si="17"/>
        <v>17</v>
      </c>
      <c r="C296" s="14">
        <v>46134</v>
      </c>
      <c r="D296" s="4">
        <v>105</v>
      </c>
      <c r="E296" s="4">
        <f>VLOOKUP(B296, wau!A:C,3,0)</f>
        <v>491</v>
      </c>
      <c r="F296" s="4">
        <f>VLOOKUP(A296,mau!A:C,3,0)</f>
        <v>1027</v>
      </c>
      <c r="G296" s="12">
        <f t="shared" si="18"/>
        <v>0.21384928716904278</v>
      </c>
      <c r="H296" s="12">
        <f t="shared" si="19"/>
        <v>0.10223953261927946</v>
      </c>
    </row>
    <row r="297" spans="1:8" x14ac:dyDescent="0.3">
      <c r="A297" s="4">
        <f t="shared" si="16"/>
        <v>4</v>
      </c>
      <c r="B297" s="4">
        <f t="shared" si="17"/>
        <v>17</v>
      </c>
      <c r="C297" s="14">
        <v>46135</v>
      </c>
      <c r="D297" s="4">
        <v>105</v>
      </c>
      <c r="E297" s="4">
        <f>VLOOKUP(B297, wau!A:C,3,0)</f>
        <v>491</v>
      </c>
      <c r="F297" s="4">
        <f>VLOOKUP(A297,mau!A:C,3,0)</f>
        <v>1027</v>
      </c>
      <c r="G297" s="12">
        <f t="shared" si="18"/>
        <v>0.21384928716904278</v>
      </c>
      <c r="H297" s="12">
        <f t="shared" si="19"/>
        <v>0.10223953261927946</v>
      </c>
    </row>
    <row r="298" spans="1:8" x14ac:dyDescent="0.3">
      <c r="A298" s="4">
        <f t="shared" si="16"/>
        <v>4</v>
      </c>
      <c r="B298" s="4">
        <f t="shared" si="17"/>
        <v>17</v>
      </c>
      <c r="C298" s="14">
        <v>46136</v>
      </c>
      <c r="D298" s="4">
        <v>90</v>
      </c>
      <c r="E298" s="4">
        <f>VLOOKUP(B298, wau!A:C,3,0)</f>
        <v>491</v>
      </c>
      <c r="F298" s="4">
        <f>VLOOKUP(A298,mau!A:C,3,0)</f>
        <v>1027</v>
      </c>
      <c r="G298" s="12">
        <f t="shared" si="18"/>
        <v>0.18329938900203666</v>
      </c>
      <c r="H298" s="12">
        <f t="shared" si="19"/>
        <v>8.7633885102239531E-2</v>
      </c>
    </row>
    <row r="299" spans="1:8" x14ac:dyDescent="0.3">
      <c r="A299" s="4">
        <f t="shared" si="16"/>
        <v>4</v>
      </c>
      <c r="B299" s="4">
        <f t="shared" si="17"/>
        <v>17</v>
      </c>
      <c r="C299" s="14">
        <v>46137</v>
      </c>
      <c r="D299" s="4">
        <v>101</v>
      </c>
      <c r="E299" s="4">
        <f>VLOOKUP(B299, wau!A:C,3,0)</f>
        <v>491</v>
      </c>
      <c r="F299" s="4">
        <f>VLOOKUP(A299,mau!A:C,3,0)</f>
        <v>1027</v>
      </c>
      <c r="G299" s="12">
        <f t="shared" si="18"/>
        <v>0.20570264765784113</v>
      </c>
      <c r="H299" s="12">
        <f t="shared" si="19"/>
        <v>9.8344693281402148E-2</v>
      </c>
    </row>
    <row r="300" spans="1:8" x14ac:dyDescent="0.3">
      <c r="A300" s="4">
        <f t="shared" si="16"/>
        <v>4</v>
      </c>
      <c r="B300" s="4">
        <f t="shared" si="17"/>
        <v>17</v>
      </c>
      <c r="C300" s="14">
        <v>46138</v>
      </c>
      <c r="D300" s="4">
        <v>92</v>
      </c>
      <c r="E300" s="4">
        <f>VLOOKUP(B300, wau!A:C,3,0)</f>
        <v>491</v>
      </c>
      <c r="F300" s="4">
        <f>VLOOKUP(A300,mau!A:C,3,0)</f>
        <v>1027</v>
      </c>
      <c r="G300" s="12">
        <f t="shared" si="18"/>
        <v>0.18737270875763748</v>
      </c>
      <c r="H300" s="12">
        <f t="shared" si="19"/>
        <v>8.9581304771178191E-2</v>
      </c>
    </row>
    <row r="301" spans="1:8" x14ac:dyDescent="0.3">
      <c r="A301" s="4">
        <f t="shared" si="16"/>
        <v>4</v>
      </c>
      <c r="B301" s="4">
        <f t="shared" si="17"/>
        <v>18</v>
      </c>
      <c r="C301" s="14">
        <v>46139</v>
      </c>
      <c r="D301" s="4">
        <v>68</v>
      </c>
      <c r="E301" s="4">
        <f>VLOOKUP(B301, wau!A:C,3,0)</f>
        <v>252</v>
      </c>
      <c r="F301" s="4">
        <f>VLOOKUP(A301,mau!A:C,3,0)</f>
        <v>1027</v>
      </c>
      <c r="G301" s="12">
        <f t="shared" si="18"/>
        <v>0.26984126984126983</v>
      </c>
      <c r="H301" s="12">
        <f t="shared" si="19"/>
        <v>6.621226874391431E-2</v>
      </c>
    </row>
    <row r="302" spans="1:8" x14ac:dyDescent="0.3">
      <c r="A302" s="4">
        <f t="shared" si="16"/>
        <v>4</v>
      </c>
      <c r="B302" s="4">
        <f t="shared" si="17"/>
        <v>18</v>
      </c>
      <c r="C302" s="14">
        <v>46140</v>
      </c>
      <c r="D302" s="4">
        <v>75</v>
      </c>
      <c r="E302" s="4">
        <f>VLOOKUP(B302, wau!A:C,3,0)</f>
        <v>252</v>
      </c>
      <c r="F302" s="4">
        <f>VLOOKUP(A302,mau!A:C,3,0)</f>
        <v>1027</v>
      </c>
      <c r="G302" s="12">
        <f t="shared" si="18"/>
        <v>0.29761904761904762</v>
      </c>
      <c r="H302" s="12">
        <f t="shared" si="19"/>
        <v>7.3028237585199607E-2</v>
      </c>
    </row>
    <row r="303" spans="1:8" x14ac:dyDescent="0.3">
      <c r="A303" s="4">
        <f t="shared" si="16"/>
        <v>4</v>
      </c>
      <c r="B303" s="4">
        <f t="shared" si="17"/>
        <v>18</v>
      </c>
      <c r="C303" s="14">
        <v>46141</v>
      </c>
      <c r="D303" s="4">
        <v>73</v>
      </c>
      <c r="E303" s="4">
        <f>VLOOKUP(B303, wau!A:C,3,0)</f>
        <v>252</v>
      </c>
      <c r="F303" s="4">
        <f>VLOOKUP(A303,mau!A:C,3,0)</f>
        <v>1027</v>
      </c>
      <c r="G303" s="12">
        <f t="shared" si="18"/>
        <v>0.28968253968253971</v>
      </c>
      <c r="H303" s="12">
        <f t="shared" si="19"/>
        <v>7.108081791626096E-2</v>
      </c>
    </row>
    <row r="304" spans="1:8" x14ac:dyDescent="0.3">
      <c r="A304" s="4">
        <f t="shared" si="16"/>
        <v>4</v>
      </c>
      <c r="B304" s="4">
        <f t="shared" si="17"/>
        <v>18</v>
      </c>
      <c r="C304" s="14">
        <v>46142</v>
      </c>
      <c r="D304" s="4">
        <v>71</v>
      </c>
      <c r="E304" s="4">
        <f>VLOOKUP(B304, wau!A:C,3,0)</f>
        <v>252</v>
      </c>
      <c r="F304" s="4">
        <f>VLOOKUP(A304,mau!A:C,3,0)</f>
        <v>1027</v>
      </c>
      <c r="G304" s="12">
        <f t="shared" si="18"/>
        <v>0.28174603174603174</v>
      </c>
      <c r="H304" s="12">
        <f t="shared" si="19"/>
        <v>6.91333982473223E-2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6131-CB4E-49FF-9DF0-80C4C6B7C531}">
  <dimension ref="A1:B304"/>
  <sheetViews>
    <sheetView workbookViewId="0">
      <selection activeCell="C6" sqref="C6"/>
    </sheetView>
  </sheetViews>
  <sheetFormatPr defaultRowHeight="14.4" x14ac:dyDescent="0.3"/>
  <cols>
    <col min="1" max="1" width="10.109375" style="1" bestFit="1" customWidth="1"/>
  </cols>
  <sheetData>
    <row r="1" spans="1:2" x14ac:dyDescent="0.3">
      <c r="A1" s="3" t="s">
        <v>0</v>
      </c>
      <c r="B1" s="7" t="s">
        <v>1</v>
      </c>
    </row>
    <row r="2" spans="1:2" x14ac:dyDescent="0.3">
      <c r="A2" s="5">
        <v>45840</v>
      </c>
      <c r="B2" s="6">
        <v>3</v>
      </c>
    </row>
    <row r="3" spans="1:2" x14ac:dyDescent="0.3">
      <c r="A3" s="5">
        <v>45841</v>
      </c>
      <c r="B3" s="6">
        <v>6</v>
      </c>
    </row>
    <row r="4" spans="1:2" x14ac:dyDescent="0.3">
      <c r="A4" s="5">
        <v>45842</v>
      </c>
      <c r="B4" s="6">
        <v>5</v>
      </c>
    </row>
    <row r="5" spans="1:2" x14ac:dyDescent="0.3">
      <c r="A5" s="5">
        <v>45843</v>
      </c>
      <c r="B5" s="6">
        <v>10</v>
      </c>
    </row>
    <row r="6" spans="1:2" x14ac:dyDescent="0.3">
      <c r="A6" s="5">
        <v>45844</v>
      </c>
      <c r="B6" s="6">
        <v>5</v>
      </c>
    </row>
    <row r="7" spans="1:2" x14ac:dyDescent="0.3">
      <c r="A7" s="5">
        <v>45845</v>
      </c>
      <c r="B7" s="6">
        <v>13</v>
      </c>
    </row>
    <row r="8" spans="1:2" x14ac:dyDescent="0.3">
      <c r="A8" s="5">
        <v>45846</v>
      </c>
      <c r="B8" s="6">
        <v>22</v>
      </c>
    </row>
    <row r="9" spans="1:2" x14ac:dyDescent="0.3">
      <c r="A9" s="5">
        <v>45847</v>
      </c>
      <c r="B9" s="6">
        <v>22</v>
      </c>
    </row>
    <row r="10" spans="1:2" x14ac:dyDescent="0.3">
      <c r="A10" s="5">
        <v>45848</v>
      </c>
      <c r="B10" s="6">
        <v>26</v>
      </c>
    </row>
    <row r="11" spans="1:2" x14ac:dyDescent="0.3">
      <c r="A11" s="5">
        <v>45849</v>
      </c>
      <c r="B11" s="6">
        <v>23</v>
      </c>
    </row>
    <row r="12" spans="1:2" x14ac:dyDescent="0.3">
      <c r="A12" s="5">
        <v>45850</v>
      </c>
      <c r="B12" s="6">
        <v>24</v>
      </c>
    </row>
    <row r="13" spans="1:2" x14ac:dyDescent="0.3">
      <c r="A13" s="5">
        <v>45851</v>
      </c>
      <c r="B13" s="6">
        <v>30</v>
      </c>
    </row>
    <row r="14" spans="1:2" x14ac:dyDescent="0.3">
      <c r="A14" s="5">
        <v>45852</v>
      </c>
      <c r="B14" s="6">
        <v>32</v>
      </c>
    </row>
    <row r="15" spans="1:2" x14ac:dyDescent="0.3">
      <c r="A15" s="5">
        <v>45853</v>
      </c>
      <c r="B15" s="6">
        <v>25</v>
      </c>
    </row>
    <row r="16" spans="1:2" x14ac:dyDescent="0.3">
      <c r="A16" s="5">
        <v>45854</v>
      </c>
      <c r="B16" s="6">
        <v>34</v>
      </c>
    </row>
    <row r="17" spans="1:2" x14ac:dyDescent="0.3">
      <c r="A17" s="5">
        <v>45855</v>
      </c>
      <c r="B17" s="6">
        <v>39</v>
      </c>
    </row>
    <row r="18" spans="1:2" x14ac:dyDescent="0.3">
      <c r="A18" s="5">
        <v>45856</v>
      </c>
      <c r="B18" s="6">
        <v>22</v>
      </c>
    </row>
    <row r="19" spans="1:2" x14ac:dyDescent="0.3">
      <c r="A19" s="5">
        <v>45857</v>
      </c>
      <c r="B19" s="6">
        <v>38</v>
      </c>
    </row>
    <row r="20" spans="1:2" x14ac:dyDescent="0.3">
      <c r="A20" s="5">
        <v>45858</v>
      </c>
      <c r="B20" s="6">
        <v>34</v>
      </c>
    </row>
    <row r="21" spans="1:2" x14ac:dyDescent="0.3">
      <c r="A21" s="5">
        <v>45859</v>
      </c>
      <c r="B21" s="6">
        <v>50</v>
      </c>
    </row>
    <row r="22" spans="1:2" x14ac:dyDescent="0.3">
      <c r="A22" s="5">
        <v>45860</v>
      </c>
      <c r="B22" s="6">
        <v>43</v>
      </c>
    </row>
    <row r="23" spans="1:2" x14ac:dyDescent="0.3">
      <c r="A23" s="5">
        <v>45861</v>
      </c>
      <c r="B23" s="6">
        <v>43</v>
      </c>
    </row>
    <row r="24" spans="1:2" x14ac:dyDescent="0.3">
      <c r="A24" s="5">
        <v>45862</v>
      </c>
      <c r="B24" s="6">
        <v>53</v>
      </c>
    </row>
    <row r="25" spans="1:2" x14ac:dyDescent="0.3">
      <c r="A25" s="5">
        <v>45863</v>
      </c>
      <c r="B25" s="6">
        <v>63</v>
      </c>
    </row>
    <row r="26" spans="1:2" x14ac:dyDescent="0.3">
      <c r="A26" s="5">
        <v>45864</v>
      </c>
      <c r="B26" s="6">
        <v>48</v>
      </c>
    </row>
    <row r="27" spans="1:2" x14ac:dyDescent="0.3">
      <c r="A27" s="5">
        <v>45865</v>
      </c>
      <c r="B27" s="6">
        <v>59</v>
      </c>
    </row>
    <row r="28" spans="1:2" x14ac:dyDescent="0.3">
      <c r="A28" s="5">
        <v>45866</v>
      </c>
      <c r="B28" s="6">
        <v>59</v>
      </c>
    </row>
    <row r="29" spans="1:2" x14ac:dyDescent="0.3">
      <c r="A29" s="5">
        <v>45867</v>
      </c>
      <c r="B29" s="6">
        <v>61</v>
      </c>
    </row>
    <row r="30" spans="1:2" x14ac:dyDescent="0.3">
      <c r="A30" s="5">
        <v>45868</v>
      </c>
      <c r="B30" s="6">
        <v>64</v>
      </c>
    </row>
    <row r="31" spans="1:2" x14ac:dyDescent="0.3">
      <c r="A31" s="5">
        <v>45869</v>
      </c>
      <c r="B31" s="6">
        <v>64</v>
      </c>
    </row>
    <row r="32" spans="1:2" x14ac:dyDescent="0.3">
      <c r="A32" s="5">
        <v>45870</v>
      </c>
      <c r="B32" s="6">
        <v>52</v>
      </c>
    </row>
    <row r="33" spans="1:2" x14ac:dyDescent="0.3">
      <c r="A33" s="5">
        <v>45871</v>
      </c>
      <c r="B33" s="6">
        <v>62</v>
      </c>
    </row>
    <row r="34" spans="1:2" x14ac:dyDescent="0.3">
      <c r="A34" s="5">
        <v>45872</v>
      </c>
      <c r="B34" s="6">
        <v>55</v>
      </c>
    </row>
    <row r="35" spans="1:2" x14ac:dyDescent="0.3">
      <c r="A35" s="5">
        <v>45873</v>
      </c>
      <c r="B35" s="6">
        <v>60</v>
      </c>
    </row>
    <row r="36" spans="1:2" x14ac:dyDescent="0.3">
      <c r="A36" s="5">
        <v>45874</v>
      </c>
      <c r="B36" s="6">
        <v>52</v>
      </c>
    </row>
    <row r="37" spans="1:2" x14ac:dyDescent="0.3">
      <c r="A37" s="5">
        <v>45875</v>
      </c>
      <c r="B37" s="6">
        <v>62</v>
      </c>
    </row>
    <row r="38" spans="1:2" x14ac:dyDescent="0.3">
      <c r="A38" s="5">
        <v>45876</v>
      </c>
      <c r="B38" s="6">
        <v>59</v>
      </c>
    </row>
    <row r="39" spans="1:2" x14ac:dyDescent="0.3">
      <c r="A39" s="5">
        <v>45877</v>
      </c>
      <c r="B39" s="6">
        <v>58</v>
      </c>
    </row>
    <row r="40" spans="1:2" x14ac:dyDescent="0.3">
      <c r="A40" s="5">
        <v>45878</v>
      </c>
      <c r="B40" s="6">
        <v>53</v>
      </c>
    </row>
    <row r="41" spans="1:2" x14ac:dyDescent="0.3">
      <c r="A41" s="5">
        <v>45879</v>
      </c>
      <c r="B41" s="6">
        <v>55</v>
      </c>
    </row>
    <row r="42" spans="1:2" x14ac:dyDescent="0.3">
      <c r="A42" s="5">
        <v>45880</v>
      </c>
      <c r="B42" s="6">
        <v>65</v>
      </c>
    </row>
    <row r="43" spans="1:2" x14ac:dyDescent="0.3">
      <c r="A43" s="5">
        <v>45881</v>
      </c>
      <c r="B43" s="6">
        <v>54</v>
      </c>
    </row>
    <row r="44" spans="1:2" x14ac:dyDescent="0.3">
      <c r="A44" s="5">
        <v>45882</v>
      </c>
      <c r="B44" s="6">
        <v>74</v>
      </c>
    </row>
    <row r="45" spans="1:2" x14ac:dyDescent="0.3">
      <c r="A45" s="5">
        <v>45883</v>
      </c>
      <c r="B45" s="6">
        <v>59</v>
      </c>
    </row>
    <row r="46" spans="1:2" x14ac:dyDescent="0.3">
      <c r="A46" s="5">
        <v>45884</v>
      </c>
      <c r="B46" s="6">
        <v>54</v>
      </c>
    </row>
    <row r="47" spans="1:2" x14ac:dyDescent="0.3">
      <c r="A47" s="5">
        <v>45885</v>
      </c>
      <c r="B47" s="6">
        <v>68</v>
      </c>
    </row>
    <row r="48" spans="1:2" x14ac:dyDescent="0.3">
      <c r="A48" s="5">
        <v>45886</v>
      </c>
      <c r="B48" s="6">
        <v>59</v>
      </c>
    </row>
    <row r="49" spans="1:2" x14ac:dyDescent="0.3">
      <c r="A49" s="5">
        <v>45887</v>
      </c>
      <c r="B49" s="6">
        <v>61</v>
      </c>
    </row>
    <row r="50" spans="1:2" x14ac:dyDescent="0.3">
      <c r="A50" s="5">
        <v>45888</v>
      </c>
      <c r="B50" s="6">
        <v>58</v>
      </c>
    </row>
    <row r="51" spans="1:2" x14ac:dyDescent="0.3">
      <c r="A51" s="5">
        <v>45889</v>
      </c>
      <c r="B51" s="6">
        <v>67</v>
      </c>
    </row>
    <row r="52" spans="1:2" x14ac:dyDescent="0.3">
      <c r="A52" s="5">
        <v>45890</v>
      </c>
      <c r="B52" s="6">
        <v>62</v>
      </c>
    </row>
    <row r="53" spans="1:2" x14ac:dyDescent="0.3">
      <c r="A53" s="5">
        <v>45891</v>
      </c>
      <c r="B53" s="6">
        <v>53</v>
      </c>
    </row>
    <row r="54" spans="1:2" x14ac:dyDescent="0.3">
      <c r="A54" s="5">
        <v>45892</v>
      </c>
      <c r="B54" s="6">
        <v>60</v>
      </c>
    </row>
    <row r="55" spans="1:2" x14ac:dyDescent="0.3">
      <c r="A55" s="5">
        <v>45893</v>
      </c>
      <c r="B55" s="6">
        <v>67</v>
      </c>
    </row>
    <row r="56" spans="1:2" x14ac:dyDescent="0.3">
      <c r="A56" s="5">
        <v>45894</v>
      </c>
      <c r="B56" s="6">
        <v>67</v>
      </c>
    </row>
    <row r="57" spans="1:2" x14ac:dyDescent="0.3">
      <c r="A57" s="5">
        <v>45895</v>
      </c>
      <c r="B57" s="6">
        <v>61</v>
      </c>
    </row>
    <row r="58" spans="1:2" x14ac:dyDescent="0.3">
      <c r="A58" s="5">
        <v>45896</v>
      </c>
      <c r="B58" s="6">
        <v>63</v>
      </c>
    </row>
    <row r="59" spans="1:2" x14ac:dyDescent="0.3">
      <c r="A59" s="5">
        <v>45897</v>
      </c>
      <c r="B59" s="6">
        <v>61</v>
      </c>
    </row>
    <row r="60" spans="1:2" x14ac:dyDescent="0.3">
      <c r="A60" s="5">
        <v>45898</v>
      </c>
      <c r="B60" s="6">
        <v>54</v>
      </c>
    </row>
    <row r="61" spans="1:2" x14ac:dyDescent="0.3">
      <c r="A61" s="5">
        <v>45899</v>
      </c>
      <c r="B61" s="6">
        <v>72</v>
      </c>
    </row>
    <row r="62" spans="1:2" x14ac:dyDescent="0.3">
      <c r="A62" s="5">
        <v>45900</v>
      </c>
      <c r="B62" s="6">
        <v>54</v>
      </c>
    </row>
    <row r="63" spans="1:2" x14ac:dyDescent="0.3">
      <c r="A63" s="5">
        <v>45901</v>
      </c>
      <c r="B63" s="6">
        <v>66</v>
      </c>
    </row>
    <row r="64" spans="1:2" x14ac:dyDescent="0.3">
      <c r="A64" s="5">
        <v>45902</v>
      </c>
      <c r="B64" s="6">
        <v>61</v>
      </c>
    </row>
    <row r="65" spans="1:2" x14ac:dyDescent="0.3">
      <c r="A65" s="5">
        <v>45903</v>
      </c>
      <c r="B65" s="6">
        <v>58</v>
      </c>
    </row>
    <row r="66" spans="1:2" x14ac:dyDescent="0.3">
      <c r="A66" s="5">
        <v>45904</v>
      </c>
      <c r="B66" s="6">
        <v>64</v>
      </c>
    </row>
    <row r="67" spans="1:2" x14ac:dyDescent="0.3">
      <c r="A67" s="5">
        <v>45905</v>
      </c>
      <c r="B67" s="6">
        <v>62</v>
      </c>
    </row>
    <row r="68" spans="1:2" x14ac:dyDescent="0.3">
      <c r="A68" s="5">
        <v>45906</v>
      </c>
      <c r="B68" s="6">
        <v>46</v>
      </c>
    </row>
    <row r="69" spans="1:2" x14ac:dyDescent="0.3">
      <c r="A69" s="5">
        <v>45907</v>
      </c>
      <c r="B69" s="6">
        <v>49</v>
      </c>
    </row>
    <row r="70" spans="1:2" x14ac:dyDescent="0.3">
      <c r="A70" s="5">
        <v>45908</v>
      </c>
      <c r="B70" s="6">
        <v>59</v>
      </c>
    </row>
    <row r="71" spans="1:2" x14ac:dyDescent="0.3">
      <c r="A71" s="5">
        <v>45909</v>
      </c>
      <c r="B71" s="6">
        <v>60</v>
      </c>
    </row>
    <row r="72" spans="1:2" x14ac:dyDescent="0.3">
      <c r="A72" s="5">
        <v>45910</v>
      </c>
      <c r="B72" s="6">
        <v>53</v>
      </c>
    </row>
    <row r="73" spans="1:2" x14ac:dyDescent="0.3">
      <c r="A73" s="5">
        <v>45911</v>
      </c>
      <c r="B73" s="6">
        <v>61</v>
      </c>
    </row>
    <row r="74" spans="1:2" x14ac:dyDescent="0.3">
      <c r="A74" s="5">
        <v>45912</v>
      </c>
      <c r="B74" s="6">
        <v>58</v>
      </c>
    </row>
    <row r="75" spans="1:2" x14ac:dyDescent="0.3">
      <c r="A75" s="5">
        <v>45913</v>
      </c>
      <c r="B75" s="6">
        <v>64</v>
      </c>
    </row>
    <row r="76" spans="1:2" x14ac:dyDescent="0.3">
      <c r="A76" s="5">
        <v>45914</v>
      </c>
      <c r="B76" s="6">
        <v>65</v>
      </c>
    </row>
    <row r="77" spans="1:2" x14ac:dyDescent="0.3">
      <c r="A77" s="5">
        <v>45915</v>
      </c>
      <c r="B77" s="6">
        <v>74</v>
      </c>
    </row>
    <row r="78" spans="1:2" x14ac:dyDescent="0.3">
      <c r="A78" s="5">
        <v>45916</v>
      </c>
      <c r="B78" s="6">
        <v>58</v>
      </c>
    </row>
    <row r="79" spans="1:2" x14ac:dyDescent="0.3">
      <c r="A79" s="5">
        <v>45917</v>
      </c>
      <c r="B79" s="6">
        <v>62</v>
      </c>
    </row>
    <row r="80" spans="1:2" x14ac:dyDescent="0.3">
      <c r="A80" s="5">
        <v>45918</v>
      </c>
      <c r="B80" s="6">
        <v>69</v>
      </c>
    </row>
    <row r="81" spans="1:2" x14ac:dyDescent="0.3">
      <c r="A81" s="5">
        <v>45919</v>
      </c>
      <c r="B81" s="6">
        <v>66</v>
      </c>
    </row>
    <row r="82" spans="1:2" x14ac:dyDescent="0.3">
      <c r="A82" s="5">
        <v>45920</v>
      </c>
      <c r="B82" s="6">
        <v>67</v>
      </c>
    </row>
    <row r="83" spans="1:2" x14ac:dyDescent="0.3">
      <c r="A83" s="5">
        <v>45921</v>
      </c>
      <c r="B83" s="6">
        <v>71</v>
      </c>
    </row>
    <row r="84" spans="1:2" x14ac:dyDescent="0.3">
      <c r="A84" s="5">
        <v>45922</v>
      </c>
      <c r="B84" s="6">
        <v>67</v>
      </c>
    </row>
    <row r="85" spans="1:2" x14ac:dyDescent="0.3">
      <c r="A85" s="5">
        <v>45923</v>
      </c>
      <c r="B85" s="6">
        <v>55</v>
      </c>
    </row>
    <row r="86" spans="1:2" x14ac:dyDescent="0.3">
      <c r="A86" s="5">
        <v>45924</v>
      </c>
      <c r="B86" s="6">
        <v>58</v>
      </c>
    </row>
    <row r="87" spans="1:2" x14ac:dyDescent="0.3">
      <c r="A87" s="5">
        <v>45925</v>
      </c>
      <c r="B87" s="6">
        <v>73</v>
      </c>
    </row>
    <row r="88" spans="1:2" x14ac:dyDescent="0.3">
      <c r="A88" s="5">
        <v>45926</v>
      </c>
      <c r="B88" s="6">
        <v>58</v>
      </c>
    </row>
    <row r="89" spans="1:2" x14ac:dyDescent="0.3">
      <c r="A89" s="5">
        <v>45927</v>
      </c>
      <c r="B89" s="6">
        <v>76</v>
      </c>
    </row>
    <row r="90" spans="1:2" x14ac:dyDescent="0.3">
      <c r="A90" s="5">
        <v>45928</v>
      </c>
      <c r="B90" s="6">
        <v>62</v>
      </c>
    </row>
    <row r="91" spans="1:2" x14ac:dyDescent="0.3">
      <c r="A91" s="5">
        <v>45929</v>
      </c>
      <c r="B91" s="6">
        <v>66</v>
      </c>
    </row>
    <row r="92" spans="1:2" x14ac:dyDescent="0.3">
      <c r="A92" s="5">
        <v>45930</v>
      </c>
      <c r="B92" s="6">
        <v>59</v>
      </c>
    </row>
    <row r="93" spans="1:2" x14ac:dyDescent="0.3">
      <c r="A93" s="5">
        <v>45931</v>
      </c>
      <c r="B93" s="6">
        <v>61</v>
      </c>
    </row>
    <row r="94" spans="1:2" x14ac:dyDescent="0.3">
      <c r="A94" s="5">
        <v>45932</v>
      </c>
      <c r="B94" s="6">
        <v>52</v>
      </c>
    </row>
    <row r="95" spans="1:2" x14ac:dyDescent="0.3">
      <c r="A95" s="5">
        <v>45933</v>
      </c>
      <c r="B95" s="6">
        <v>69</v>
      </c>
    </row>
    <row r="96" spans="1:2" x14ac:dyDescent="0.3">
      <c r="A96" s="5">
        <v>45934</v>
      </c>
      <c r="B96" s="6">
        <v>70</v>
      </c>
    </row>
    <row r="97" spans="1:2" x14ac:dyDescent="0.3">
      <c r="A97" s="5">
        <v>45935</v>
      </c>
      <c r="B97" s="6">
        <v>45</v>
      </c>
    </row>
    <row r="98" spans="1:2" x14ac:dyDescent="0.3">
      <c r="A98" s="5">
        <v>45936</v>
      </c>
      <c r="B98" s="6">
        <v>77</v>
      </c>
    </row>
    <row r="99" spans="1:2" x14ac:dyDescent="0.3">
      <c r="A99" s="5">
        <v>45937</v>
      </c>
      <c r="B99" s="6">
        <v>61</v>
      </c>
    </row>
    <row r="100" spans="1:2" x14ac:dyDescent="0.3">
      <c r="A100" s="5">
        <v>45938</v>
      </c>
      <c r="B100" s="6">
        <v>56</v>
      </c>
    </row>
    <row r="101" spans="1:2" x14ac:dyDescent="0.3">
      <c r="A101" s="5">
        <v>45939</v>
      </c>
      <c r="B101" s="6">
        <v>66</v>
      </c>
    </row>
    <row r="102" spans="1:2" x14ac:dyDescent="0.3">
      <c r="A102" s="5">
        <v>45940</v>
      </c>
      <c r="B102" s="6">
        <v>51</v>
      </c>
    </row>
    <row r="103" spans="1:2" x14ac:dyDescent="0.3">
      <c r="A103" s="5">
        <v>45941</v>
      </c>
      <c r="B103" s="6">
        <v>59</v>
      </c>
    </row>
    <row r="104" spans="1:2" x14ac:dyDescent="0.3">
      <c r="A104" s="5">
        <v>45942</v>
      </c>
      <c r="B104" s="6">
        <v>65</v>
      </c>
    </row>
    <row r="105" spans="1:2" x14ac:dyDescent="0.3">
      <c r="A105" s="5">
        <v>45943</v>
      </c>
      <c r="B105" s="6">
        <v>53</v>
      </c>
    </row>
    <row r="106" spans="1:2" x14ac:dyDescent="0.3">
      <c r="A106" s="5">
        <v>45944</v>
      </c>
      <c r="B106" s="6">
        <v>72</v>
      </c>
    </row>
    <row r="107" spans="1:2" x14ac:dyDescent="0.3">
      <c r="A107" s="5">
        <v>45945</v>
      </c>
      <c r="B107" s="6">
        <v>62</v>
      </c>
    </row>
    <row r="108" spans="1:2" x14ac:dyDescent="0.3">
      <c r="A108" s="5">
        <v>45946</v>
      </c>
      <c r="B108" s="6">
        <v>62</v>
      </c>
    </row>
    <row r="109" spans="1:2" x14ac:dyDescent="0.3">
      <c r="A109" s="5">
        <v>45947</v>
      </c>
      <c r="B109" s="6">
        <v>70</v>
      </c>
    </row>
    <row r="110" spans="1:2" x14ac:dyDescent="0.3">
      <c r="A110" s="5">
        <v>45948</v>
      </c>
      <c r="B110" s="6">
        <v>62</v>
      </c>
    </row>
    <row r="111" spans="1:2" x14ac:dyDescent="0.3">
      <c r="A111" s="5">
        <v>45949</v>
      </c>
      <c r="B111" s="6">
        <v>82</v>
      </c>
    </row>
    <row r="112" spans="1:2" x14ac:dyDescent="0.3">
      <c r="A112" s="5">
        <v>45950</v>
      </c>
      <c r="B112" s="6">
        <v>52</v>
      </c>
    </row>
    <row r="113" spans="1:2" x14ac:dyDescent="0.3">
      <c r="A113" s="5">
        <v>45951</v>
      </c>
      <c r="B113" s="6">
        <v>65</v>
      </c>
    </row>
    <row r="114" spans="1:2" x14ac:dyDescent="0.3">
      <c r="A114" s="5">
        <v>45952</v>
      </c>
      <c r="B114" s="6">
        <v>64</v>
      </c>
    </row>
    <row r="115" spans="1:2" x14ac:dyDescent="0.3">
      <c r="A115" s="5">
        <v>45953</v>
      </c>
      <c r="B115" s="6">
        <v>57</v>
      </c>
    </row>
    <row r="116" spans="1:2" x14ac:dyDescent="0.3">
      <c r="A116" s="5">
        <v>45954</v>
      </c>
      <c r="B116" s="6">
        <v>58</v>
      </c>
    </row>
    <row r="117" spans="1:2" x14ac:dyDescent="0.3">
      <c r="A117" s="5">
        <v>45955</v>
      </c>
      <c r="B117" s="6">
        <v>66</v>
      </c>
    </row>
    <row r="118" spans="1:2" x14ac:dyDescent="0.3">
      <c r="A118" s="5">
        <v>45956</v>
      </c>
      <c r="B118" s="6">
        <v>60</v>
      </c>
    </row>
    <row r="119" spans="1:2" x14ac:dyDescent="0.3">
      <c r="A119" s="5">
        <v>45957</v>
      </c>
      <c r="B119" s="6">
        <v>55</v>
      </c>
    </row>
    <row r="120" spans="1:2" x14ac:dyDescent="0.3">
      <c r="A120" s="5">
        <v>45958</v>
      </c>
      <c r="B120" s="6">
        <v>65</v>
      </c>
    </row>
    <row r="121" spans="1:2" x14ac:dyDescent="0.3">
      <c r="A121" s="5">
        <v>45959</v>
      </c>
      <c r="B121" s="6">
        <v>54</v>
      </c>
    </row>
    <row r="122" spans="1:2" x14ac:dyDescent="0.3">
      <c r="A122" s="5">
        <v>45960</v>
      </c>
      <c r="B122" s="6">
        <v>66</v>
      </c>
    </row>
    <row r="123" spans="1:2" x14ac:dyDescent="0.3">
      <c r="A123" s="5">
        <v>45961</v>
      </c>
      <c r="B123" s="6">
        <v>72</v>
      </c>
    </row>
    <row r="124" spans="1:2" x14ac:dyDescent="0.3">
      <c r="A124" s="5">
        <v>45962</v>
      </c>
      <c r="B124" s="6">
        <v>58</v>
      </c>
    </row>
    <row r="125" spans="1:2" x14ac:dyDescent="0.3">
      <c r="A125" s="5">
        <v>45963</v>
      </c>
      <c r="B125" s="6">
        <v>55</v>
      </c>
    </row>
    <row r="126" spans="1:2" x14ac:dyDescent="0.3">
      <c r="A126" s="5">
        <v>45964</v>
      </c>
      <c r="B126" s="6">
        <v>56</v>
      </c>
    </row>
    <row r="127" spans="1:2" x14ac:dyDescent="0.3">
      <c r="A127" s="5">
        <v>45965</v>
      </c>
      <c r="B127" s="6">
        <v>63</v>
      </c>
    </row>
    <row r="128" spans="1:2" x14ac:dyDescent="0.3">
      <c r="A128" s="5">
        <v>45966</v>
      </c>
      <c r="B128" s="6">
        <v>69</v>
      </c>
    </row>
    <row r="129" spans="1:2" x14ac:dyDescent="0.3">
      <c r="A129" s="5">
        <v>45967</v>
      </c>
      <c r="B129" s="6">
        <v>62</v>
      </c>
    </row>
    <row r="130" spans="1:2" x14ac:dyDescent="0.3">
      <c r="A130" s="5">
        <v>45968</v>
      </c>
      <c r="B130" s="6">
        <v>60</v>
      </c>
    </row>
    <row r="131" spans="1:2" x14ac:dyDescent="0.3">
      <c r="A131" s="5">
        <v>45969</v>
      </c>
      <c r="B131" s="6">
        <v>60</v>
      </c>
    </row>
    <row r="132" spans="1:2" x14ac:dyDescent="0.3">
      <c r="A132" s="5">
        <v>45970</v>
      </c>
      <c r="B132" s="6">
        <v>60</v>
      </c>
    </row>
    <row r="133" spans="1:2" x14ac:dyDescent="0.3">
      <c r="A133" s="5">
        <v>45971</v>
      </c>
      <c r="B133" s="6">
        <v>55</v>
      </c>
    </row>
    <row r="134" spans="1:2" x14ac:dyDescent="0.3">
      <c r="A134" s="5">
        <v>45972</v>
      </c>
      <c r="B134" s="6">
        <v>62</v>
      </c>
    </row>
    <row r="135" spans="1:2" x14ac:dyDescent="0.3">
      <c r="A135" s="5">
        <v>45973</v>
      </c>
      <c r="B135" s="6">
        <v>53</v>
      </c>
    </row>
    <row r="136" spans="1:2" x14ac:dyDescent="0.3">
      <c r="A136" s="5">
        <v>45974</v>
      </c>
      <c r="B136" s="6">
        <v>54</v>
      </c>
    </row>
    <row r="137" spans="1:2" x14ac:dyDescent="0.3">
      <c r="A137" s="5">
        <v>45975</v>
      </c>
      <c r="B137" s="6">
        <v>46</v>
      </c>
    </row>
    <row r="138" spans="1:2" x14ac:dyDescent="0.3">
      <c r="A138" s="5">
        <v>45976</v>
      </c>
      <c r="B138" s="6">
        <v>55</v>
      </c>
    </row>
    <row r="139" spans="1:2" x14ac:dyDescent="0.3">
      <c r="A139" s="5">
        <v>45977</v>
      </c>
      <c r="B139" s="6">
        <v>51</v>
      </c>
    </row>
    <row r="140" spans="1:2" x14ac:dyDescent="0.3">
      <c r="A140" s="5">
        <v>45978</v>
      </c>
      <c r="B140" s="6">
        <v>58</v>
      </c>
    </row>
    <row r="141" spans="1:2" x14ac:dyDescent="0.3">
      <c r="A141" s="5">
        <v>45979</v>
      </c>
      <c r="B141" s="6">
        <v>51</v>
      </c>
    </row>
    <row r="142" spans="1:2" x14ac:dyDescent="0.3">
      <c r="A142" s="5">
        <v>45980</v>
      </c>
      <c r="B142" s="6">
        <v>40</v>
      </c>
    </row>
    <row r="143" spans="1:2" x14ac:dyDescent="0.3">
      <c r="A143" s="5">
        <v>45981</v>
      </c>
      <c r="B143" s="6">
        <v>50</v>
      </c>
    </row>
    <row r="144" spans="1:2" x14ac:dyDescent="0.3">
      <c r="A144" s="5">
        <v>45982</v>
      </c>
      <c r="B144" s="6">
        <v>34</v>
      </c>
    </row>
    <row r="145" spans="1:2" x14ac:dyDescent="0.3">
      <c r="A145" s="5">
        <v>45983</v>
      </c>
      <c r="B145" s="6">
        <v>41</v>
      </c>
    </row>
    <row r="146" spans="1:2" x14ac:dyDescent="0.3">
      <c r="A146" s="5">
        <v>45984</v>
      </c>
      <c r="B146" s="6">
        <v>39</v>
      </c>
    </row>
    <row r="147" spans="1:2" x14ac:dyDescent="0.3">
      <c r="A147" s="5">
        <v>45985</v>
      </c>
      <c r="B147" s="6">
        <v>32</v>
      </c>
    </row>
    <row r="148" spans="1:2" x14ac:dyDescent="0.3">
      <c r="A148" s="5">
        <v>45986</v>
      </c>
      <c r="B148" s="6">
        <v>32</v>
      </c>
    </row>
    <row r="149" spans="1:2" x14ac:dyDescent="0.3">
      <c r="A149" s="5">
        <v>45987</v>
      </c>
      <c r="B149" s="6">
        <v>31</v>
      </c>
    </row>
    <row r="150" spans="1:2" x14ac:dyDescent="0.3">
      <c r="A150" s="5">
        <v>45988</v>
      </c>
      <c r="B150" s="6">
        <v>35</v>
      </c>
    </row>
    <row r="151" spans="1:2" x14ac:dyDescent="0.3">
      <c r="A151" s="5">
        <v>45989</v>
      </c>
      <c r="B151" s="6">
        <v>32</v>
      </c>
    </row>
    <row r="152" spans="1:2" x14ac:dyDescent="0.3">
      <c r="A152" s="5">
        <v>45990</v>
      </c>
      <c r="B152" s="6">
        <v>23</v>
      </c>
    </row>
    <row r="153" spans="1:2" x14ac:dyDescent="0.3">
      <c r="A153" s="5">
        <v>45991</v>
      </c>
      <c r="B153" s="6">
        <v>35</v>
      </c>
    </row>
    <row r="154" spans="1:2" x14ac:dyDescent="0.3">
      <c r="A154" s="5">
        <v>45992</v>
      </c>
      <c r="B154" s="6">
        <v>32</v>
      </c>
    </row>
    <row r="155" spans="1:2" x14ac:dyDescent="0.3">
      <c r="A155" s="5">
        <v>45993</v>
      </c>
      <c r="B155" s="6">
        <v>25</v>
      </c>
    </row>
    <row r="156" spans="1:2" x14ac:dyDescent="0.3">
      <c r="A156" s="5">
        <v>45994</v>
      </c>
      <c r="B156" s="6">
        <v>19</v>
      </c>
    </row>
    <row r="157" spans="1:2" x14ac:dyDescent="0.3">
      <c r="A157" s="5">
        <v>45995</v>
      </c>
      <c r="B157" s="6">
        <v>30</v>
      </c>
    </row>
    <row r="158" spans="1:2" x14ac:dyDescent="0.3">
      <c r="A158" s="5">
        <v>45996</v>
      </c>
      <c r="B158" s="6">
        <v>23</v>
      </c>
    </row>
    <row r="159" spans="1:2" x14ac:dyDescent="0.3">
      <c r="A159" s="5">
        <v>45997</v>
      </c>
      <c r="B159" s="6">
        <v>32</v>
      </c>
    </row>
    <row r="160" spans="1:2" x14ac:dyDescent="0.3">
      <c r="A160" s="5">
        <v>45998</v>
      </c>
      <c r="B160" s="6">
        <v>35</v>
      </c>
    </row>
    <row r="161" spans="1:2" x14ac:dyDescent="0.3">
      <c r="A161" s="5">
        <v>45999</v>
      </c>
      <c r="B161" s="6">
        <v>29</v>
      </c>
    </row>
    <row r="162" spans="1:2" x14ac:dyDescent="0.3">
      <c r="A162" s="5">
        <v>46000</v>
      </c>
      <c r="B162" s="6">
        <v>36</v>
      </c>
    </row>
    <row r="163" spans="1:2" x14ac:dyDescent="0.3">
      <c r="A163" s="5">
        <v>46001</v>
      </c>
      <c r="B163" s="6">
        <v>30</v>
      </c>
    </row>
    <row r="164" spans="1:2" x14ac:dyDescent="0.3">
      <c r="A164" s="5">
        <v>46002</v>
      </c>
      <c r="B164" s="6">
        <v>25</v>
      </c>
    </row>
    <row r="165" spans="1:2" x14ac:dyDescent="0.3">
      <c r="A165" s="5">
        <v>46003</v>
      </c>
      <c r="B165" s="6">
        <v>31</v>
      </c>
    </row>
    <row r="166" spans="1:2" x14ac:dyDescent="0.3">
      <c r="A166" s="5">
        <v>46004</v>
      </c>
      <c r="B166" s="6">
        <v>34</v>
      </c>
    </row>
    <row r="167" spans="1:2" x14ac:dyDescent="0.3">
      <c r="A167" s="5">
        <v>46005</v>
      </c>
      <c r="B167" s="6">
        <v>22</v>
      </c>
    </row>
    <row r="168" spans="1:2" x14ac:dyDescent="0.3">
      <c r="A168" s="5">
        <v>46006</v>
      </c>
      <c r="B168" s="6">
        <v>26</v>
      </c>
    </row>
    <row r="169" spans="1:2" x14ac:dyDescent="0.3">
      <c r="A169" s="5">
        <v>46007</v>
      </c>
      <c r="B169" s="6">
        <v>27</v>
      </c>
    </row>
    <row r="170" spans="1:2" x14ac:dyDescent="0.3">
      <c r="A170" s="5">
        <v>46008</v>
      </c>
      <c r="B170" s="6">
        <v>28</v>
      </c>
    </row>
    <row r="171" spans="1:2" x14ac:dyDescent="0.3">
      <c r="A171" s="5">
        <v>46009</v>
      </c>
      <c r="B171" s="6">
        <v>20</v>
      </c>
    </row>
    <row r="172" spans="1:2" x14ac:dyDescent="0.3">
      <c r="A172" s="5">
        <v>46010</v>
      </c>
      <c r="B172" s="6">
        <v>32</v>
      </c>
    </row>
    <row r="173" spans="1:2" x14ac:dyDescent="0.3">
      <c r="A173" s="5">
        <v>46011</v>
      </c>
      <c r="B173" s="6">
        <v>28</v>
      </c>
    </row>
    <row r="174" spans="1:2" x14ac:dyDescent="0.3">
      <c r="A174" s="5">
        <v>46012</v>
      </c>
      <c r="B174" s="6">
        <v>28</v>
      </c>
    </row>
    <row r="175" spans="1:2" x14ac:dyDescent="0.3">
      <c r="A175" s="5">
        <v>46013</v>
      </c>
      <c r="B175" s="6">
        <v>29</v>
      </c>
    </row>
    <row r="176" spans="1:2" x14ac:dyDescent="0.3">
      <c r="A176" s="5">
        <v>46014</v>
      </c>
      <c r="B176" s="6">
        <v>36</v>
      </c>
    </row>
    <row r="177" spans="1:2" x14ac:dyDescent="0.3">
      <c r="A177" s="5">
        <v>46015</v>
      </c>
      <c r="B177" s="6">
        <v>24</v>
      </c>
    </row>
    <row r="178" spans="1:2" x14ac:dyDescent="0.3">
      <c r="A178" s="5">
        <v>46016</v>
      </c>
      <c r="B178" s="6">
        <v>33</v>
      </c>
    </row>
    <row r="179" spans="1:2" x14ac:dyDescent="0.3">
      <c r="A179" s="5">
        <v>46017</v>
      </c>
      <c r="B179" s="6">
        <v>26</v>
      </c>
    </row>
    <row r="180" spans="1:2" x14ac:dyDescent="0.3">
      <c r="A180" s="5">
        <v>46018</v>
      </c>
      <c r="B180" s="6">
        <v>24</v>
      </c>
    </row>
    <row r="181" spans="1:2" x14ac:dyDescent="0.3">
      <c r="A181" s="5">
        <v>46019</v>
      </c>
      <c r="B181" s="6">
        <v>32</v>
      </c>
    </row>
    <row r="182" spans="1:2" x14ac:dyDescent="0.3">
      <c r="A182" s="5">
        <v>46020</v>
      </c>
      <c r="B182" s="6">
        <v>29</v>
      </c>
    </row>
    <row r="183" spans="1:2" x14ac:dyDescent="0.3">
      <c r="A183" s="5">
        <v>46021</v>
      </c>
      <c r="B183" s="6">
        <v>22</v>
      </c>
    </row>
    <row r="184" spans="1:2" x14ac:dyDescent="0.3">
      <c r="A184" s="5">
        <v>46022</v>
      </c>
      <c r="B184" s="6">
        <v>37</v>
      </c>
    </row>
    <row r="185" spans="1:2" x14ac:dyDescent="0.3">
      <c r="A185" s="5">
        <v>46023</v>
      </c>
      <c r="B185" s="6">
        <v>24</v>
      </c>
    </row>
    <row r="186" spans="1:2" x14ac:dyDescent="0.3">
      <c r="A186" s="5">
        <v>46024</v>
      </c>
      <c r="B186" s="6">
        <v>35</v>
      </c>
    </row>
    <row r="187" spans="1:2" x14ac:dyDescent="0.3">
      <c r="A187" s="5">
        <v>46025</v>
      </c>
      <c r="B187" s="6">
        <v>40</v>
      </c>
    </row>
    <row r="188" spans="1:2" x14ac:dyDescent="0.3">
      <c r="A188" s="5">
        <v>46026</v>
      </c>
      <c r="B188" s="6">
        <v>46</v>
      </c>
    </row>
    <row r="189" spans="1:2" x14ac:dyDescent="0.3">
      <c r="A189" s="5">
        <v>46027</v>
      </c>
      <c r="B189" s="6">
        <v>36</v>
      </c>
    </row>
    <row r="190" spans="1:2" x14ac:dyDescent="0.3">
      <c r="A190" s="5">
        <v>46028</v>
      </c>
      <c r="B190" s="6">
        <v>46</v>
      </c>
    </row>
    <row r="191" spans="1:2" x14ac:dyDescent="0.3">
      <c r="A191" s="5">
        <v>46029</v>
      </c>
      <c r="B191" s="6">
        <v>35</v>
      </c>
    </row>
    <row r="192" spans="1:2" x14ac:dyDescent="0.3">
      <c r="A192" s="5">
        <v>46030</v>
      </c>
      <c r="B192" s="6">
        <v>53</v>
      </c>
    </row>
    <row r="193" spans="1:2" x14ac:dyDescent="0.3">
      <c r="A193" s="5">
        <v>46031</v>
      </c>
      <c r="B193" s="6">
        <v>53</v>
      </c>
    </row>
    <row r="194" spans="1:2" x14ac:dyDescent="0.3">
      <c r="A194" s="5">
        <v>46032</v>
      </c>
      <c r="B194" s="6">
        <v>52</v>
      </c>
    </row>
    <row r="195" spans="1:2" x14ac:dyDescent="0.3">
      <c r="A195" s="5">
        <v>46033</v>
      </c>
      <c r="B195" s="6">
        <v>65</v>
      </c>
    </row>
    <row r="196" spans="1:2" x14ac:dyDescent="0.3">
      <c r="A196" s="5">
        <v>46034</v>
      </c>
      <c r="B196" s="6">
        <v>52</v>
      </c>
    </row>
    <row r="197" spans="1:2" x14ac:dyDescent="0.3">
      <c r="A197" s="5">
        <v>46035</v>
      </c>
      <c r="B197" s="6">
        <v>62</v>
      </c>
    </row>
    <row r="198" spans="1:2" x14ac:dyDescent="0.3">
      <c r="A198" s="5">
        <v>46036</v>
      </c>
      <c r="B198" s="6">
        <v>77</v>
      </c>
    </row>
    <row r="199" spans="1:2" x14ac:dyDescent="0.3">
      <c r="A199" s="5">
        <v>46037</v>
      </c>
      <c r="B199" s="6">
        <v>61</v>
      </c>
    </row>
    <row r="200" spans="1:2" x14ac:dyDescent="0.3">
      <c r="A200" s="5">
        <v>46038</v>
      </c>
      <c r="B200" s="6">
        <v>70</v>
      </c>
    </row>
    <row r="201" spans="1:2" x14ac:dyDescent="0.3">
      <c r="A201" s="5">
        <v>46039</v>
      </c>
      <c r="B201" s="6">
        <v>66</v>
      </c>
    </row>
    <row r="202" spans="1:2" x14ac:dyDescent="0.3">
      <c r="A202" s="5">
        <v>46040</v>
      </c>
      <c r="B202" s="6">
        <v>73</v>
      </c>
    </row>
    <row r="203" spans="1:2" x14ac:dyDescent="0.3">
      <c r="A203" s="5">
        <v>46041</v>
      </c>
      <c r="B203" s="6">
        <v>73</v>
      </c>
    </row>
    <row r="204" spans="1:2" x14ac:dyDescent="0.3">
      <c r="A204" s="5">
        <v>46042</v>
      </c>
      <c r="B204" s="6">
        <v>80</v>
      </c>
    </row>
    <row r="205" spans="1:2" x14ac:dyDescent="0.3">
      <c r="A205" s="5">
        <v>46043</v>
      </c>
      <c r="B205" s="6">
        <v>75</v>
      </c>
    </row>
    <row r="206" spans="1:2" x14ac:dyDescent="0.3">
      <c r="A206" s="5">
        <v>46044</v>
      </c>
      <c r="B206" s="6">
        <v>90</v>
      </c>
    </row>
    <row r="207" spans="1:2" x14ac:dyDescent="0.3">
      <c r="A207" s="5">
        <v>46045</v>
      </c>
      <c r="B207" s="6">
        <v>78</v>
      </c>
    </row>
    <row r="208" spans="1:2" x14ac:dyDescent="0.3">
      <c r="A208" s="5">
        <v>46046</v>
      </c>
      <c r="B208" s="6">
        <v>90</v>
      </c>
    </row>
    <row r="209" spans="1:2" x14ac:dyDescent="0.3">
      <c r="A209" s="5">
        <v>46047</v>
      </c>
      <c r="B209" s="6">
        <v>88</v>
      </c>
    </row>
    <row r="210" spans="1:2" x14ac:dyDescent="0.3">
      <c r="A210" s="5">
        <v>46048</v>
      </c>
      <c r="B210" s="6">
        <v>83</v>
      </c>
    </row>
    <row r="211" spans="1:2" x14ac:dyDescent="0.3">
      <c r="A211" s="5">
        <v>46049</v>
      </c>
      <c r="B211" s="6">
        <v>92</v>
      </c>
    </row>
    <row r="212" spans="1:2" x14ac:dyDescent="0.3">
      <c r="A212" s="5">
        <v>46050</v>
      </c>
      <c r="B212" s="6">
        <v>99</v>
      </c>
    </row>
    <row r="213" spans="1:2" x14ac:dyDescent="0.3">
      <c r="A213" s="5">
        <v>46051</v>
      </c>
      <c r="B213" s="6">
        <v>93</v>
      </c>
    </row>
    <row r="214" spans="1:2" x14ac:dyDescent="0.3">
      <c r="A214" s="5">
        <v>46052</v>
      </c>
      <c r="B214" s="6">
        <v>115</v>
      </c>
    </row>
    <row r="215" spans="1:2" x14ac:dyDescent="0.3">
      <c r="A215" s="5">
        <v>46053</v>
      </c>
      <c r="B215" s="6">
        <v>108</v>
      </c>
    </row>
    <row r="216" spans="1:2" x14ac:dyDescent="0.3">
      <c r="A216" s="5">
        <v>46054</v>
      </c>
      <c r="B216" s="6">
        <v>112</v>
      </c>
    </row>
    <row r="217" spans="1:2" x14ac:dyDescent="0.3">
      <c r="A217" s="5">
        <v>46055</v>
      </c>
      <c r="B217" s="6">
        <v>86</v>
      </c>
    </row>
    <row r="218" spans="1:2" x14ac:dyDescent="0.3">
      <c r="A218" s="5">
        <v>46056</v>
      </c>
      <c r="B218" s="6">
        <v>98</v>
      </c>
    </row>
    <row r="219" spans="1:2" x14ac:dyDescent="0.3">
      <c r="A219" s="5">
        <v>46057</v>
      </c>
      <c r="B219" s="6">
        <v>100</v>
      </c>
    </row>
    <row r="220" spans="1:2" x14ac:dyDescent="0.3">
      <c r="A220" s="5">
        <v>46058</v>
      </c>
      <c r="B220" s="6">
        <v>95</v>
      </c>
    </row>
    <row r="221" spans="1:2" x14ac:dyDescent="0.3">
      <c r="A221" s="5">
        <v>46059</v>
      </c>
      <c r="B221" s="6">
        <v>98</v>
      </c>
    </row>
    <row r="222" spans="1:2" x14ac:dyDescent="0.3">
      <c r="A222" s="5">
        <v>46060</v>
      </c>
      <c r="B222" s="6">
        <v>90</v>
      </c>
    </row>
    <row r="223" spans="1:2" x14ac:dyDescent="0.3">
      <c r="A223" s="5">
        <v>46061</v>
      </c>
      <c r="B223" s="6">
        <v>107</v>
      </c>
    </row>
    <row r="224" spans="1:2" x14ac:dyDescent="0.3">
      <c r="A224" s="5">
        <v>46062</v>
      </c>
      <c r="B224" s="6">
        <v>101</v>
      </c>
    </row>
    <row r="225" spans="1:2" x14ac:dyDescent="0.3">
      <c r="A225" s="5">
        <v>46063</v>
      </c>
      <c r="B225" s="6">
        <v>104</v>
      </c>
    </row>
    <row r="226" spans="1:2" x14ac:dyDescent="0.3">
      <c r="A226" s="5">
        <v>46064</v>
      </c>
      <c r="B226" s="6">
        <v>98</v>
      </c>
    </row>
    <row r="227" spans="1:2" x14ac:dyDescent="0.3">
      <c r="A227" s="5">
        <v>46065</v>
      </c>
      <c r="B227" s="6">
        <v>101</v>
      </c>
    </row>
    <row r="228" spans="1:2" x14ac:dyDescent="0.3">
      <c r="A228" s="5">
        <v>46066</v>
      </c>
      <c r="B228" s="6">
        <v>94</v>
      </c>
    </row>
    <row r="229" spans="1:2" x14ac:dyDescent="0.3">
      <c r="A229" s="5">
        <v>46067</v>
      </c>
      <c r="B229" s="6">
        <v>108</v>
      </c>
    </row>
    <row r="230" spans="1:2" x14ac:dyDescent="0.3">
      <c r="A230" s="5">
        <v>46068</v>
      </c>
      <c r="B230" s="6">
        <v>103</v>
      </c>
    </row>
    <row r="231" spans="1:2" x14ac:dyDescent="0.3">
      <c r="A231" s="5">
        <v>46069</v>
      </c>
      <c r="B231" s="6">
        <v>95</v>
      </c>
    </row>
    <row r="232" spans="1:2" x14ac:dyDescent="0.3">
      <c r="A232" s="5">
        <v>46070</v>
      </c>
      <c r="B232" s="6">
        <v>107</v>
      </c>
    </row>
    <row r="233" spans="1:2" x14ac:dyDescent="0.3">
      <c r="A233" s="5">
        <v>46071</v>
      </c>
      <c r="B233" s="6">
        <v>116</v>
      </c>
    </row>
    <row r="234" spans="1:2" x14ac:dyDescent="0.3">
      <c r="A234" s="5">
        <v>46072</v>
      </c>
      <c r="B234" s="6">
        <v>109</v>
      </c>
    </row>
    <row r="235" spans="1:2" x14ac:dyDescent="0.3">
      <c r="A235" s="5">
        <v>46073</v>
      </c>
      <c r="B235" s="6">
        <v>84</v>
      </c>
    </row>
    <row r="236" spans="1:2" x14ac:dyDescent="0.3">
      <c r="A236" s="5">
        <v>46074</v>
      </c>
      <c r="B236" s="6">
        <v>98</v>
      </c>
    </row>
    <row r="237" spans="1:2" x14ac:dyDescent="0.3">
      <c r="A237" s="5">
        <v>46075</v>
      </c>
      <c r="B237" s="6">
        <v>115</v>
      </c>
    </row>
    <row r="238" spans="1:2" x14ac:dyDescent="0.3">
      <c r="A238" s="5">
        <v>46076</v>
      </c>
      <c r="B238" s="6">
        <v>95</v>
      </c>
    </row>
    <row r="239" spans="1:2" x14ac:dyDescent="0.3">
      <c r="A239" s="5">
        <v>46077</v>
      </c>
      <c r="B239" s="6">
        <v>106</v>
      </c>
    </row>
    <row r="240" spans="1:2" x14ac:dyDescent="0.3">
      <c r="A240" s="5">
        <v>46078</v>
      </c>
      <c r="B240" s="6">
        <v>118</v>
      </c>
    </row>
    <row r="241" spans="1:2" x14ac:dyDescent="0.3">
      <c r="A241" s="5">
        <v>46079</v>
      </c>
      <c r="B241" s="6">
        <v>127</v>
      </c>
    </row>
    <row r="242" spans="1:2" x14ac:dyDescent="0.3">
      <c r="A242" s="5">
        <v>46080</v>
      </c>
      <c r="B242" s="6">
        <v>104</v>
      </c>
    </row>
    <row r="243" spans="1:2" x14ac:dyDescent="0.3">
      <c r="A243" s="5">
        <v>46081</v>
      </c>
      <c r="B243" s="6">
        <v>131</v>
      </c>
    </row>
    <row r="244" spans="1:2" x14ac:dyDescent="0.3">
      <c r="A244" s="5">
        <v>46082</v>
      </c>
      <c r="B244" s="6">
        <v>130</v>
      </c>
    </row>
    <row r="245" spans="1:2" x14ac:dyDescent="0.3">
      <c r="A245" s="5">
        <v>46083</v>
      </c>
      <c r="B245" s="6">
        <v>138</v>
      </c>
    </row>
    <row r="246" spans="1:2" x14ac:dyDescent="0.3">
      <c r="A246" s="5">
        <v>46084</v>
      </c>
      <c r="B246" s="6">
        <v>167</v>
      </c>
    </row>
    <row r="247" spans="1:2" x14ac:dyDescent="0.3">
      <c r="A247" s="5">
        <v>46085</v>
      </c>
      <c r="B247" s="6">
        <v>170</v>
      </c>
    </row>
    <row r="248" spans="1:2" x14ac:dyDescent="0.3">
      <c r="A248" s="5">
        <v>46086</v>
      </c>
      <c r="B248" s="6">
        <v>165</v>
      </c>
    </row>
    <row r="249" spans="1:2" x14ac:dyDescent="0.3">
      <c r="A249" s="5">
        <v>46087</v>
      </c>
      <c r="B249" s="6">
        <v>149</v>
      </c>
    </row>
    <row r="250" spans="1:2" x14ac:dyDescent="0.3">
      <c r="A250" s="5">
        <v>46088</v>
      </c>
      <c r="B250" s="6">
        <v>151</v>
      </c>
    </row>
    <row r="251" spans="1:2" x14ac:dyDescent="0.3">
      <c r="A251" s="5">
        <v>46089</v>
      </c>
      <c r="B251" s="6">
        <v>173</v>
      </c>
    </row>
    <row r="252" spans="1:2" x14ac:dyDescent="0.3">
      <c r="A252" s="5">
        <v>46090</v>
      </c>
      <c r="B252" s="6">
        <v>150</v>
      </c>
    </row>
    <row r="253" spans="1:2" x14ac:dyDescent="0.3">
      <c r="A253" s="5">
        <v>46091</v>
      </c>
      <c r="B253" s="6">
        <v>162</v>
      </c>
    </row>
    <row r="254" spans="1:2" x14ac:dyDescent="0.3">
      <c r="A254" s="5">
        <v>46092</v>
      </c>
      <c r="B254" s="6">
        <v>175</v>
      </c>
    </row>
    <row r="255" spans="1:2" x14ac:dyDescent="0.3">
      <c r="A255" s="5">
        <v>46093</v>
      </c>
      <c r="B255" s="6">
        <v>176</v>
      </c>
    </row>
    <row r="256" spans="1:2" x14ac:dyDescent="0.3">
      <c r="A256" s="5">
        <v>46094</v>
      </c>
      <c r="B256" s="6">
        <v>180</v>
      </c>
    </row>
    <row r="257" spans="1:2" x14ac:dyDescent="0.3">
      <c r="A257" s="5">
        <v>46095</v>
      </c>
      <c r="B257" s="6">
        <v>168</v>
      </c>
    </row>
    <row r="258" spans="1:2" x14ac:dyDescent="0.3">
      <c r="A258" s="5">
        <v>46096</v>
      </c>
      <c r="B258" s="6">
        <v>185</v>
      </c>
    </row>
    <row r="259" spans="1:2" x14ac:dyDescent="0.3">
      <c r="A259" s="5">
        <v>46097</v>
      </c>
      <c r="B259" s="6">
        <v>181</v>
      </c>
    </row>
    <row r="260" spans="1:2" x14ac:dyDescent="0.3">
      <c r="A260" s="5">
        <v>46098</v>
      </c>
      <c r="B260" s="6">
        <v>172</v>
      </c>
    </row>
    <row r="261" spans="1:2" x14ac:dyDescent="0.3">
      <c r="A261" s="5">
        <v>46099</v>
      </c>
      <c r="B261" s="6">
        <v>187</v>
      </c>
    </row>
    <row r="262" spans="1:2" x14ac:dyDescent="0.3">
      <c r="A262" s="5">
        <v>46100</v>
      </c>
      <c r="B262" s="6">
        <v>218</v>
      </c>
    </row>
    <row r="263" spans="1:2" x14ac:dyDescent="0.3">
      <c r="A263" s="5">
        <v>46101</v>
      </c>
      <c r="B263" s="6">
        <v>184</v>
      </c>
    </row>
    <row r="264" spans="1:2" x14ac:dyDescent="0.3">
      <c r="A264" s="5">
        <v>46102</v>
      </c>
      <c r="B264" s="6">
        <v>194</v>
      </c>
    </row>
    <row r="265" spans="1:2" x14ac:dyDescent="0.3">
      <c r="A265" s="5">
        <v>46103</v>
      </c>
      <c r="B265" s="6">
        <v>131</v>
      </c>
    </row>
    <row r="266" spans="1:2" x14ac:dyDescent="0.3">
      <c r="A266" s="5">
        <v>46104</v>
      </c>
      <c r="B266" s="6">
        <v>176</v>
      </c>
    </row>
    <row r="267" spans="1:2" x14ac:dyDescent="0.3">
      <c r="A267" s="5">
        <v>46105</v>
      </c>
      <c r="B267" s="6">
        <v>136</v>
      </c>
    </row>
    <row r="268" spans="1:2" x14ac:dyDescent="0.3">
      <c r="A268" s="5">
        <v>46106</v>
      </c>
      <c r="B268" s="6">
        <v>153</v>
      </c>
    </row>
    <row r="269" spans="1:2" x14ac:dyDescent="0.3">
      <c r="A269" s="5">
        <v>46107</v>
      </c>
      <c r="B269" s="6">
        <v>159</v>
      </c>
    </row>
    <row r="270" spans="1:2" x14ac:dyDescent="0.3">
      <c r="A270" s="5">
        <v>46108</v>
      </c>
      <c r="B270" s="6">
        <v>143</v>
      </c>
    </row>
    <row r="271" spans="1:2" x14ac:dyDescent="0.3">
      <c r="A271" s="5">
        <v>46109</v>
      </c>
      <c r="B271" s="6">
        <v>156</v>
      </c>
    </row>
    <row r="272" spans="1:2" x14ac:dyDescent="0.3">
      <c r="A272" s="5">
        <v>46110</v>
      </c>
      <c r="B272" s="6">
        <v>151</v>
      </c>
    </row>
    <row r="273" spans="1:2" x14ac:dyDescent="0.3">
      <c r="A273" s="5">
        <v>46111</v>
      </c>
      <c r="B273" s="6">
        <v>148</v>
      </c>
    </row>
    <row r="274" spans="1:2" x14ac:dyDescent="0.3">
      <c r="A274" s="5">
        <v>46112</v>
      </c>
      <c r="B274" s="6">
        <v>184</v>
      </c>
    </row>
    <row r="275" spans="1:2" x14ac:dyDescent="0.3">
      <c r="A275" s="5">
        <v>46113</v>
      </c>
      <c r="B275" s="6">
        <v>204</v>
      </c>
    </row>
    <row r="276" spans="1:2" x14ac:dyDescent="0.3">
      <c r="A276" s="5">
        <v>46114</v>
      </c>
      <c r="B276" s="6">
        <v>215</v>
      </c>
    </row>
    <row r="277" spans="1:2" x14ac:dyDescent="0.3">
      <c r="A277" s="5">
        <v>46115</v>
      </c>
      <c r="B277" s="6">
        <v>198</v>
      </c>
    </row>
    <row r="278" spans="1:2" x14ac:dyDescent="0.3">
      <c r="A278" s="5">
        <v>46116</v>
      </c>
      <c r="B278" s="6">
        <v>199</v>
      </c>
    </row>
    <row r="279" spans="1:2" x14ac:dyDescent="0.3">
      <c r="A279" s="5">
        <v>46117</v>
      </c>
      <c r="B279" s="6">
        <v>188</v>
      </c>
    </row>
    <row r="280" spans="1:2" x14ac:dyDescent="0.3">
      <c r="A280" s="5">
        <v>46118</v>
      </c>
      <c r="B280" s="6">
        <v>197</v>
      </c>
    </row>
    <row r="281" spans="1:2" x14ac:dyDescent="0.3">
      <c r="A281" s="5">
        <v>46119</v>
      </c>
      <c r="B281" s="6">
        <v>192</v>
      </c>
    </row>
    <row r="282" spans="1:2" x14ac:dyDescent="0.3">
      <c r="A282" s="5">
        <v>46120</v>
      </c>
      <c r="B282" s="6">
        <v>200</v>
      </c>
    </row>
    <row r="283" spans="1:2" x14ac:dyDescent="0.3">
      <c r="A283" s="5">
        <v>46121</v>
      </c>
      <c r="B283" s="6">
        <v>192</v>
      </c>
    </row>
    <row r="284" spans="1:2" x14ac:dyDescent="0.3">
      <c r="A284" s="5">
        <v>46122</v>
      </c>
      <c r="B284" s="6">
        <v>172</v>
      </c>
    </row>
    <row r="285" spans="1:2" x14ac:dyDescent="0.3">
      <c r="A285" s="5">
        <v>46123</v>
      </c>
      <c r="B285" s="6">
        <v>160</v>
      </c>
    </row>
    <row r="286" spans="1:2" x14ac:dyDescent="0.3">
      <c r="A286" s="5">
        <v>46124</v>
      </c>
      <c r="B286" s="6">
        <v>168</v>
      </c>
    </row>
    <row r="287" spans="1:2" x14ac:dyDescent="0.3">
      <c r="A287" s="5">
        <v>46125</v>
      </c>
      <c r="B287" s="6">
        <v>171</v>
      </c>
    </row>
    <row r="288" spans="1:2" x14ac:dyDescent="0.3">
      <c r="A288" s="5">
        <v>46126</v>
      </c>
      <c r="B288" s="6">
        <v>154</v>
      </c>
    </row>
    <row r="289" spans="1:2" x14ac:dyDescent="0.3">
      <c r="A289" s="5">
        <v>46127</v>
      </c>
      <c r="B289" s="6">
        <v>146</v>
      </c>
    </row>
    <row r="290" spans="1:2" x14ac:dyDescent="0.3">
      <c r="A290" s="5">
        <v>46128</v>
      </c>
      <c r="B290" s="6">
        <v>166</v>
      </c>
    </row>
    <row r="291" spans="1:2" x14ac:dyDescent="0.3">
      <c r="A291" s="5">
        <v>46129</v>
      </c>
      <c r="B291" s="6">
        <v>134</v>
      </c>
    </row>
    <row r="292" spans="1:2" x14ac:dyDescent="0.3">
      <c r="A292" s="5">
        <v>46130</v>
      </c>
      <c r="B292" s="6">
        <v>149</v>
      </c>
    </row>
    <row r="293" spans="1:2" x14ac:dyDescent="0.3">
      <c r="A293" s="5">
        <v>46131</v>
      </c>
      <c r="B293" s="6">
        <v>132</v>
      </c>
    </row>
    <row r="294" spans="1:2" x14ac:dyDescent="0.3">
      <c r="A294" s="5">
        <v>46132</v>
      </c>
      <c r="B294" s="6">
        <v>131</v>
      </c>
    </row>
    <row r="295" spans="1:2" x14ac:dyDescent="0.3">
      <c r="A295" s="5">
        <v>46133</v>
      </c>
      <c r="B295" s="6">
        <v>104</v>
      </c>
    </row>
    <row r="296" spans="1:2" x14ac:dyDescent="0.3">
      <c r="A296" s="5">
        <v>46134</v>
      </c>
      <c r="B296" s="6">
        <v>105</v>
      </c>
    </row>
    <row r="297" spans="1:2" x14ac:dyDescent="0.3">
      <c r="A297" s="5">
        <v>46135</v>
      </c>
      <c r="B297" s="6">
        <v>105</v>
      </c>
    </row>
    <row r="298" spans="1:2" x14ac:dyDescent="0.3">
      <c r="A298" s="5">
        <v>46136</v>
      </c>
      <c r="B298" s="6">
        <v>90</v>
      </c>
    </row>
    <row r="299" spans="1:2" x14ac:dyDescent="0.3">
      <c r="A299" s="5">
        <v>46137</v>
      </c>
      <c r="B299" s="6">
        <v>101</v>
      </c>
    </row>
    <row r="300" spans="1:2" x14ac:dyDescent="0.3">
      <c r="A300" s="5">
        <v>46138</v>
      </c>
      <c r="B300" s="6">
        <v>92</v>
      </c>
    </row>
    <row r="301" spans="1:2" x14ac:dyDescent="0.3">
      <c r="A301" s="5">
        <v>46139</v>
      </c>
      <c r="B301" s="6">
        <v>68</v>
      </c>
    </row>
    <row r="302" spans="1:2" x14ac:dyDescent="0.3">
      <c r="A302" s="5">
        <v>46140</v>
      </c>
      <c r="B302" s="6">
        <v>75</v>
      </c>
    </row>
    <row r="303" spans="1:2" x14ac:dyDescent="0.3">
      <c r="A303" s="5">
        <v>46141</v>
      </c>
      <c r="B303" s="6">
        <v>73</v>
      </c>
    </row>
    <row r="304" spans="1:2" x14ac:dyDescent="0.3">
      <c r="A304" s="5">
        <v>46142</v>
      </c>
      <c r="B304" s="6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6DE22-6B75-4BFC-9CD6-E13D15BAA63E}">
  <dimension ref="A1:C45"/>
  <sheetViews>
    <sheetView workbookViewId="0">
      <selection activeCell="B9" sqref="B9"/>
    </sheetView>
  </sheetViews>
  <sheetFormatPr defaultRowHeight="14.4" x14ac:dyDescent="0.3"/>
  <cols>
    <col min="2" max="2" width="10.109375" style="1" bestFit="1" customWidth="1"/>
  </cols>
  <sheetData>
    <row r="1" spans="1:3" x14ac:dyDescent="0.3">
      <c r="A1" s="7" t="s">
        <v>11</v>
      </c>
      <c r="B1" s="3" t="s">
        <v>4</v>
      </c>
      <c r="C1" s="7" t="s">
        <v>5</v>
      </c>
    </row>
    <row r="2" spans="1:3" x14ac:dyDescent="0.3">
      <c r="A2" s="6">
        <f>_xlfn.ISOWEEKNUM(B2)</f>
        <v>27</v>
      </c>
      <c r="B2" s="5">
        <v>45838</v>
      </c>
      <c r="C2" s="6">
        <v>17</v>
      </c>
    </row>
    <row r="3" spans="1:3" x14ac:dyDescent="0.3">
      <c r="A3" s="6">
        <f t="shared" ref="A3:A45" si="0">_xlfn.ISOWEEKNUM(B3)</f>
        <v>28</v>
      </c>
      <c r="B3" s="5">
        <v>45845</v>
      </c>
      <c r="C3" s="6">
        <v>76</v>
      </c>
    </row>
    <row r="4" spans="1:3" x14ac:dyDescent="0.3">
      <c r="A4" s="6">
        <f t="shared" si="0"/>
        <v>29</v>
      </c>
      <c r="B4" s="5">
        <v>45852</v>
      </c>
      <c r="C4" s="6">
        <v>110</v>
      </c>
    </row>
    <row r="5" spans="1:3" x14ac:dyDescent="0.3">
      <c r="A5" s="6">
        <f t="shared" si="0"/>
        <v>30</v>
      </c>
      <c r="B5" s="5">
        <v>45859</v>
      </c>
      <c r="C5" s="6">
        <v>157</v>
      </c>
    </row>
    <row r="6" spans="1:3" x14ac:dyDescent="0.3">
      <c r="A6" s="6">
        <f t="shared" si="0"/>
        <v>31</v>
      </c>
      <c r="B6" s="5">
        <v>45866</v>
      </c>
      <c r="C6" s="6">
        <v>190</v>
      </c>
    </row>
    <row r="7" spans="1:3" x14ac:dyDescent="0.3">
      <c r="A7" s="6">
        <f t="shared" si="0"/>
        <v>32</v>
      </c>
      <c r="B7" s="5">
        <v>45873</v>
      </c>
      <c r="C7" s="6">
        <v>183</v>
      </c>
    </row>
    <row r="8" spans="1:3" x14ac:dyDescent="0.3">
      <c r="A8" s="6">
        <f t="shared" si="0"/>
        <v>33</v>
      </c>
      <c r="B8" s="5">
        <v>45880</v>
      </c>
      <c r="C8" s="6">
        <v>196</v>
      </c>
    </row>
    <row r="9" spans="1:3" x14ac:dyDescent="0.3">
      <c r="A9" s="6">
        <f t="shared" si="0"/>
        <v>34</v>
      </c>
      <c r="B9" s="5">
        <v>45887</v>
      </c>
      <c r="C9" s="6">
        <v>202</v>
      </c>
    </row>
    <row r="10" spans="1:3" x14ac:dyDescent="0.3">
      <c r="A10" s="6">
        <f t="shared" si="0"/>
        <v>35</v>
      </c>
      <c r="B10" s="5">
        <v>45894</v>
      </c>
      <c r="C10" s="6">
        <v>203</v>
      </c>
    </row>
    <row r="11" spans="1:3" x14ac:dyDescent="0.3">
      <c r="A11" s="6">
        <f t="shared" si="0"/>
        <v>36</v>
      </c>
      <c r="B11" s="5">
        <v>45901</v>
      </c>
      <c r="C11" s="6">
        <v>188</v>
      </c>
    </row>
    <row r="12" spans="1:3" x14ac:dyDescent="0.3">
      <c r="A12" s="6">
        <f t="shared" si="0"/>
        <v>37</v>
      </c>
      <c r="B12" s="5">
        <v>45908</v>
      </c>
      <c r="C12" s="6">
        <v>199</v>
      </c>
    </row>
    <row r="13" spans="1:3" x14ac:dyDescent="0.3">
      <c r="A13" s="6">
        <f t="shared" si="0"/>
        <v>38</v>
      </c>
      <c r="B13" s="5">
        <v>45915</v>
      </c>
      <c r="C13" s="6">
        <v>218</v>
      </c>
    </row>
    <row r="14" spans="1:3" x14ac:dyDescent="0.3">
      <c r="A14" s="6">
        <f t="shared" si="0"/>
        <v>39</v>
      </c>
      <c r="B14" s="5">
        <v>45922</v>
      </c>
      <c r="C14" s="6">
        <v>200</v>
      </c>
    </row>
    <row r="15" spans="1:3" x14ac:dyDescent="0.3">
      <c r="A15" s="6">
        <f t="shared" si="0"/>
        <v>40</v>
      </c>
      <c r="B15" s="5">
        <v>45929</v>
      </c>
      <c r="C15" s="6">
        <v>211</v>
      </c>
    </row>
    <row r="16" spans="1:3" x14ac:dyDescent="0.3">
      <c r="A16" s="6">
        <f t="shared" si="0"/>
        <v>41</v>
      </c>
      <c r="B16" s="5">
        <v>45936</v>
      </c>
      <c r="C16" s="6">
        <v>190</v>
      </c>
    </row>
    <row r="17" spans="1:3" x14ac:dyDescent="0.3">
      <c r="A17" s="6">
        <f t="shared" si="0"/>
        <v>42</v>
      </c>
      <c r="B17" s="5">
        <v>45943</v>
      </c>
      <c r="C17" s="6">
        <v>215</v>
      </c>
    </row>
    <row r="18" spans="1:3" x14ac:dyDescent="0.3">
      <c r="A18" s="6">
        <f t="shared" si="0"/>
        <v>43</v>
      </c>
      <c r="B18" s="5">
        <v>45950</v>
      </c>
      <c r="C18" s="6">
        <v>209</v>
      </c>
    </row>
    <row r="19" spans="1:3" x14ac:dyDescent="0.3">
      <c r="A19" s="6">
        <f t="shared" si="0"/>
        <v>44</v>
      </c>
      <c r="B19" s="5">
        <v>45957</v>
      </c>
      <c r="C19" s="6">
        <v>214</v>
      </c>
    </row>
    <row r="20" spans="1:3" x14ac:dyDescent="0.3">
      <c r="A20" s="6">
        <f t="shared" si="0"/>
        <v>45</v>
      </c>
      <c r="B20" s="5">
        <v>45964</v>
      </c>
      <c r="C20" s="6">
        <v>209</v>
      </c>
    </row>
    <row r="21" spans="1:3" x14ac:dyDescent="0.3">
      <c r="A21" s="6">
        <f t="shared" si="0"/>
        <v>46</v>
      </c>
      <c r="B21" s="5">
        <v>45971</v>
      </c>
      <c r="C21" s="6">
        <v>199</v>
      </c>
    </row>
    <row r="22" spans="1:3" x14ac:dyDescent="0.3">
      <c r="A22" s="6">
        <f t="shared" si="0"/>
        <v>47</v>
      </c>
      <c r="B22" s="5">
        <v>45978</v>
      </c>
      <c r="C22" s="6">
        <v>190</v>
      </c>
    </row>
    <row r="23" spans="1:3" x14ac:dyDescent="0.3">
      <c r="A23" s="6">
        <f t="shared" si="0"/>
        <v>48</v>
      </c>
      <c r="B23" s="5">
        <v>45985</v>
      </c>
      <c r="C23" s="6">
        <v>168</v>
      </c>
    </row>
    <row r="24" spans="1:3" x14ac:dyDescent="0.3">
      <c r="A24" s="6">
        <f t="shared" si="0"/>
        <v>49</v>
      </c>
      <c r="B24" s="5">
        <v>45992</v>
      </c>
      <c r="C24" s="6">
        <v>149</v>
      </c>
    </row>
    <row r="25" spans="1:3" x14ac:dyDescent="0.3">
      <c r="A25" s="6">
        <f t="shared" si="0"/>
        <v>50</v>
      </c>
      <c r="B25" s="5">
        <v>45999</v>
      </c>
      <c r="C25" s="6">
        <v>147</v>
      </c>
    </row>
    <row r="26" spans="1:3" x14ac:dyDescent="0.3">
      <c r="A26" s="6">
        <f t="shared" si="0"/>
        <v>51</v>
      </c>
      <c r="B26" s="5">
        <v>46006</v>
      </c>
      <c r="C26" s="6">
        <v>141</v>
      </c>
    </row>
    <row r="27" spans="1:3" x14ac:dyDescent="0.3">
      <c r="A27" s="6">
        <f t="shared" si="0"/>
        <v>52</v>
      </c>
      <c r="B27" s="5">
        <v>46013</v>
      </c>
      <c r="C27" s="6">
        <v>145</v>
      </c>
    </row>
    <row r="28" spans="1:3" x14ac:dyDescent="0.3">
      <c r="A28" s="6">
        <f t="shared" si="0"/>
        <v>1</v>
      </c>
      <c r="B28" s="5">
        <v>46020</v>
      </c>
      <c r="C28" s="6">
        <v>173</v>
      </c>
    </row>
    <row r="29" spans="1:3" x14ac:dyDescent="0.3">
      <c r="A29" s="6">
        <f t="shared" si="0"/>
        <v>2</v>
      </c>
      <c r="B29" s="5">
        <v>46027</v>
      </c>
      <c r="C29" s="6">
        <v>208</v>
      </c>
    </row>
    <row r="30" spans="1:3" x14ac:dyDescent="0.3">
      <c r="A30" s="6">
        <f t="shared" si="0"/>
        <v>3</v>
      </c>
      <c r="B30" s="5">
        <v>46034</v>
      </c>
      <c r="C30" s="6">
        <v>244</v>
      </c>
    </row>
    <row r="31" spans="1:3" x14ac:dyDescent="0.3">
      <c r="A31" s="6">
        <f t="shared" si="0"/>
        <v>4</v>
      </c>
      <c r="B31" s="5">
        <v>46041</v>
      </c>
      <c r="C31" s="6">
        <v>285</v>
      </c>
    </row>
    <row r="32" spans="1:3" x14ac:dyDescent="0.3">
      <c r="A32" s="6">
        <f t="shared" si="0"/>
        <v>5</v>
      </c>
      <c r="B32" s="5">
        <v>46048</v>
      </c>
      <c r="C32" s="6">
        <v>331</v>
      </c>
    </row>
    <row r="33" spans="1:3" x14ac:dyDescent="0.3">
      <c r="A33" s="6">
        <f t="shared" si="0"/>
        <v>6</v>
      </c>
      <c r="B33" s="5">
        <v>46055</v>
      </c>
      <c r="C33" s="6">
        <v>337</v>
      </c>
    </row>
    <row r="34" spans="1:3" x14ac:dyDescent="0.3">
      <c r="A34" s="6">
        <f t="shared" si="0"/>
        <v>7</v>
      </c>
      <c r="B34" s="5">
        <v>46062</v>
      </c>
      <c r="C34" s="6">
        <v>334</v>
      </c>
    </row>
    <row r="35" spans="1:3" x14ac:dyDescent="0.3">
      <c r="A35" s="6">
        <f t="shared" si="0"/>
        <v>8</v>
      </c>
      <c r="B35" s="5">
        <v>46069</v>
      </c>
      <c r="C35" s="6">
        <v>362</v>
      </c>
    </row>
    <row r="36" spans="1:3" x14ac:dyDescent="0.3">
      <c r="A36" s="6">
        <f t="shared" si="0"/>
        <v>9</v>
      </c>
      <c r="B36" s="5">
        <v>46076</v>
      </c>
      <c r="C36" s="6">
        <v>426</v>
      </c>
    </row>
    <row r="37" spans="1:3" x14ac:dyDescent="0.3">
      <c r="A37" s="6">
        <f t="shared" si="0"/>
        <v>10</v>
      </c>
      <c r="B37" s="5">
        <v>46083</v>
      </c>
      <c r="C37" s="6">
        <v>684</v>
      </c>
    </row>
    <row r="38" spans="1:3" x14ac:dyDescent="0.3">
      <c r="A38" s="6">
        <f t="shared" si="0"/>
        <v>11</v>
      </c>
      <c r="B38" s="5">
        <v>46090</v>
      </c>
      <c r="C38" s="6">
        <v>729</v>
      </c>
    </row>
    <row r="39" spans="1:3" x14ac:dyDescent="0.3">
      <c r="A39" s="6">
        <f t="shared" si="0"/>
        <v>12</v>
      </c>
      <c r="B39" s="5">
        <v>46097</v>
      </c>
      <c r="C39" s="6">
        <v>773</v>
      </c>
    </row>
    <row r="40" spans="1:3" x14ac:dyDescent="0.3">
      <c r="A40" s="6">
        <f t="shared" si="0"/>
        <v>13</v>
      </c>
      <c r="B40" s="5">
        <v>46104</v>
      </c>
      <c r="C40" s="6">
        <v>579</v>
      </c>
    </row>
    <row r="41" spans="1:3" x14ac:dyDescent="0.3">
      <c r="A41" s="6">
        <f t="shared" si="0"/>
        <v>14</v>
      </c>
      <c r="B41" s="5">
        <v>46111</v>
      </c>
      <c r="C41" s="6">
        <v>697</v>
      </c>
    </row>
    <row r="42" spans="1:3" x14ac:dyDescent="0.3">
      <c r="A42" s="6">
        <f t="shared" si="0"/>
        <v>15</v>
      </c>
      <c r="B42" s="5">
        <v>46118</v>
      </c>
      <c r="C42" s="6">
        <v>665</v>
      </c>
    </row>
    <row r="43" spans="1:3" x14ac:dyDescent="0.3">
      <c r="A43" s="6">
        <f t="shared" si="0"/>
        <v>16</v>
      </c>
      <c r="B43" s="5">
        <v>46125</v>
      </c>
      <c r="C43" s="6">
        <v>584</v>
      </c>
    </row>
    <row r="44" spans="1:3" x14ac:dyDescent="0.3">
      <c r="A44" s="6">
        <f t="shared" si="0"/>
        <v>17</v>
      </c>
      <c r="B44" s="5">
        <v>46132</v>
      </c>
      <c r="C44" s="6">
        <v>491</v>
      </c>
    </row>
    <row r="45" spans="1:3" x14ac:dyDescent="0.3">
      <c r="A45" s="6">
        <f t="shared" si="0"/>
        <v>18</v>
      </c>
      <c r="B45" s="5">
        <v>46139</v>
      </c>
      <c r="C45" s="6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4D25-35B8-41D6-8981-178872CE7116}">
  <dimension ref="A1:C11"/>
  <sheetViews>
    <sheetView workbookViewId="0">
      <selection sqref="A1:C11"/>
    </sheetView>
  </sheetViews>
  <sheetFormatPr defaultRowHeight="14.4" x14ac:dyDescent="0.3"/>
  <cols>
    <col min="2" max="2" width="11" style="1" bestFit="1" customWidth="1"/>
  </cols>
  <sheetData>
    <row r="1" spans="1:3" x14ac:dyDescent="0.3">
      <c r="A1" s="8" t="s">
        <v>2</v>
      </c>
      <c r="B1" s="3" t="s">
        <v>12</v>
      </c>
      <c r="C1" s="7" t="s">
        <v>3</v>
      </c>
    </row>
    <row r="2" spans="1:3" x14ac:dyDescent="0.3">
      <c r="A2" s="4">
        <f>MONTH(B2)</f>
        <v>7</v>
      </c>
      <c r="B2" s="5">
        <v>45839</v>
      </c>
      <c r="C2" s="6">
        <v>193</v>
      </c>
    </row>
    <row r="3" spans="1:3" x14ac:dyDescent="0.3">
      <c r="A3" s="4">
        <f t="shared" ref="A3:A11" si="0">MONTH(B3)</f>
        <v>8</v>
      </c>
      <c r="B3" s="5">
        <v>45870</v>
      </c>
      <c r="C3" s="6">
        <v>366</v>
      </c>
    </row>
    <row r="4" spans="1:3" x14ac:dyDescent="0.3">
      <c r="A4" s="4">
        <f t="shared" si="0"/>
        <v>9</v>
      </c>
      <c r="B4" s="5">
        <v>45901</v>
      </c>
      <c r="C4" s="6">
        <v>378</v>
      </c>
    </row>
    <row r="5" spans="1:3" x14ac:dyDescent="0.3">
      <c r="A5" s="4">
        <f t="shared" si="0"/>
        <v>10</v>
      </c>
      <c r="B5" s="5">
        <v>45931</v>
      </c>
      <c r="C5" s="6">
        <v>393</v>
      </c>
    </row>
    <row r="6" spans="1:3" x14ac:dyDescent="0.3">
      <c r="A6" s="4">
        <f t="shared" si="0"/>
        <v>11</v>
      </c>
      <c r="B6" s="5">
        <v>45962</v>
      </c>
      <c r="C6" s="6">
        <v>426</v>
      </c>
    </row>
    <row r="7" spans="1:3" x14ac:dyDescent="0.3">
      <c r="A7" s="4">
        <f t="shared" si="0"/>
        <v>12</v>
      </c>
      <c r="B7" s="5">
        <v>45992</v>
      </c>
      <c r="C7" s="6">
        <v>390</v>
      </c>
    </row>
    <row r="8" spans="1:3" x14ac:dyDescent="0.3">
      <c r="A8" s="4">
        <f t="shared" si="0"/>
        <v>1</v>
      </c>
      <c r="B8" s="5">
        <v>46023</v>
      </c>
      <c r="C8" s="6">
        <v>536</v>
      </c>
    </row>
    <row r="9" spans="1:3" x14ac:dyDescent="0.3">
      <c r="A9" s="4">
        <f t="shared" si="0"/>
        <v>2</v>
      </c>
      <c r="B9" s="5">
        <v>46054</v>
      </c>
      <c r="C9" s="6">
        <v>696</v>
      </c>
    </row>
    <row r="10" spans="1:3" x14ac:dyDescent="0.3">
      <c r="A10" s="4">
        <f t="shared" si="0"/>
        <v>3</v>
      </c>
      <c r="B10" s="5">
        <v>46082</v>
      </c>
      <c r="C10" s="6">
        <v>1544</v>
      </c>
    </row>
    <row r="11" spans="1:3" x14ac:dyDescent="0.3">
      <c r="A11" s="4">
        <f t="shared" si="0"/>
        <v>4</v>
      </c>
      <c r="B11" s="5">
        <v>46113</v>
      </c>
      <c r="C11" s="6">
        <v>1027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8E489A-E527-4D89-93F0-5CF01ED91D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report</vt:lpstr>
      <vt:lpstr>dau</vt:lpstr>
      <vt:lpstr>wau</vt:lpstr>
      <vt:lpstr>mau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Savostin Dmitriy</dc:creator>
  <cp:lastModifiedBy>Savostin Dmitriy</cp:lastModifiedBy>
  <dcterms:created xsi:type="dcterms:W3CDTF">2026-08-10T13:26:28Z</dcterms:created>
  <dcterms:modified xsi:type="dcterms:W3CDTF">2026-08-10T17:49:20Z</dcterms:modified>
</cp:coreProperties>
</file>